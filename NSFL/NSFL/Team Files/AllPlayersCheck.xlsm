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675" yWindow="-15" windowWidth="12540" windowHeight="12390"/>
  </bookViews>
  <sheets>
    <sheet name="Checker" sheetId="1" r:id="rId1"/>
    <sheet name="Index" sheetId="2" r:id="rId2"/>
  </sheets>
  <functionGroups builtInGroupCount="17"/>
  <externalReferences>
    <externalReference r:id="rId3"/>
  </externalReferences>
  <definedNames>
    <definedName name="_xlnm._FilterDatabase" localSheetId="0" hidden="1">Checker!$B$1:$H$373</definedName>
  </definedNames>
  <calcPr calcId="144525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2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2" i="1"/>
  <c r="B7" i="1"/>
  <c r="B23" i="1"/>
  <c r="B39" i="1"/>
  <c r="B55" i="1"/>
  <c r="B71" i="1"/>
  <c r="B87" i="1"/>
  <c r="B103" i="1"/>
  <c r="B119" i="1"/>
  <c r="B135" i="1"/>
  <c r="B151" i="1"/>
  <c r="B167" i="1"/>
  <c r="B183" i="1"/>
  <c r="B199" i="1"/>
  <c r="B215" i="1"/>
  <c r="B231" i="1"/>
  <c r="B247" i="1"/>
  <c r="B263" i="1"/>
  <c r="B279" i="1"/>
  <c r="B295" i="1"/>
  <c r="B311" i="1"/>
  <c r="B347" i="1"/>
  <c r="B12" i="1"/>
  <c r="B28" i="1"/>
  <c r="B44" i="1"/>
  <c r="B60" i="1"/>
  <c r="B76" i="1"/>
  <c r="B92" i="1"/>
  <c r="B108" i="1"/>
  <c r="B124" i="1"/>
  <c r="B140" i="1"/>
  <c r="B156" i="1"/>
  <c r="B172" i="1"/>
  <c r="B188" i="1"/>
  <c r="B204" i="1"/>
  <c r="B220" i="1"/>
  <c r="B236" i="1"/>
  <c r="B252" i="1"/>
  <c r="B268" i="1"/>
  <c r="B284" i="1"/>
  <c r="B300" i="1"/>
  <c r="B316" i="1"/>
  <c r="B332" i="1"/>
  <c r="B348" i="1"/>
  <c r="B364" i="1"/>
  <c r="B5" i="1"/>
  <c r="B21" i="1"/>
  <c r="B37" i="1"/>
  <c r="B53" i="1"/>
  <c r="B69" i="1"/>
  <c r="B85" i="1"/>
  <c r="B101" i="1"/>
  <c r="B117" i="1"/>
  <c r="B133" i="1"/>
  <c r="B149" i="1"/>
  <c r="B165" i="1"/>
  <c r="B181" i="1"/>
  <c r="B197" i="1"/>
  <c r="B213" i="1"/>
  <c r="B229" i="1"/>
  <c r="B245" i="1"/>
  <c r="B261" i="1"/>
  <c r="B277" i="1"/>
  <c r="B293" i="1"/>
  <c r="B309" i="1"/>
  <c r="B325" i="1"/>
  <c r="B341" i="1"/>
  <c r="B357" i="1"/>
  <c r="B343" i="1"/>
  <c r="B14" i="1"/>
  <c r="B30" i="1"/>
  <c r="B46" i="1"/>
  <c r="B62" i="1"/>
  <c r="B78" i="1"/>
  <c r="B94" i="1"/>
  <c r="B110" i="1"/>
  <c r="B126" i="1"/>
  <c r="B142" i="1"/>
  <c r="B158" i="1"/>
  <c r="B174" i="1"/>
  <c r="B190" i="1"/>
  <c r="B206" i="1"/>
  <c r="B222" i="1"/>
  <c r="B238" i="1"/>
  <c r="B254" i="1"/>
  <c r="B270" i="1"/>
  <c r="B286" i="1"/>
  <c r="B302" i="1"/>
  <c r="B318" i="1"/>
  <c r="B334" i="1"/>
  <c r="B350" i="1"/>
  <c r="B355" i="1"/>
  <c r="C43" i="1"/>
  <c r="C107" i="1"/>
  <c r="C171" i="1"/>
  <c r="C235" i="1"/>
  <c r="C299" i="1"/>
  <c r="C363" i="1"/>
  <c r="C52" i="1"/>
  <c r="C116" i="1"/>
  <c r="C180" i="1"/>
  <c r="C244" i="1"/>
  <c r="C308" i="1"/>
  <c r="C9" i="1"/>
  <c r="C73" i="1"/>
  <c r="C137" i="1"/>
  <c r="C201" i="1"/>
  <c r="C265" i="1"/>
  <c r="C329" i="1"/>
  <c r="C26" i="1"/>
  <c r="C90" i="1"/>
  <c r="C154" i="1"/>
  <c r="C218" i="1"/>
  <c r="C282" i="1"/>
  <c r="C346" i="1"/>
  <c r="C47" i="1"/>
  <c r="C111" i="1"/>
  <c r="C175" i="1"/>
  <c r="C239" i="1"/>
  <c r="C303" i="1"/>
  <c r="C8" i="1"/>
  <c r="C72" i="1"/>
  <c r="C136" i="1"/>
  <c r="B11" i="1"/>
  <c r="B27" i="1"/>
  <c r="B43" i="1"/>
  <c r="B59" i="1"/>
  <c r="B75" i="1"/>
  <c r="B91" i="1"/>
  <c r="B107" i="1"/>
  <c r="B123" i="1"/>
  <c r="B139" i="1"/>
  <c r="B155" i="1"/>
  <c r="B171" i="1"/>
  <c r="B187" i="1"/>
  <c r="B203" i="1"/>
  <c r="B219" i="1"/>
  <c r="B235" i="1"/>
  <c r="B251" i="1"/>
  <c r="B267" i="1"/>
  <c r="B283" i="1"/>
  <c r="B299" i="1"/>
  <c r="B315" i="1"/>
  <c r="B363" i="1"/>
  <c r="B16" i="1"/>
  <c r="B32" i="1"/>
  <c r="B48" i="1"/>
  <c r="B64" i="1"/>
  <c r="B80" i="1"/>
  <c r="B96" i="1"/>
  <c r="B112" i="1"/>
  <c r="B128" i="1"/>
  <c r="B144" i="1"/>
  <c r="B160" i="1"/>
  <c r="B176" i="1"/>
  <c r="B192" i="1"/>
  <c r="B208" i="1"/>
  <c r="B224" i="1"/>
  <c r="B240" i="1"/>
  <c r="B256" i="1"/>
  <c r="B272" i="1"/>
  <c r="B288" i="1"/>
  <c r="B304" i="1"/>
  <c r="B320" i="1"/>
  <c r="B336" i="1"/>
  <c r="B352" i="1"/>
  <c r="B362" i="1"/>
  <c r="B9" i="1"/>
  <c r="B25" i="1"/>
  <c r="B41" i="1"/>
  <c r="B57" i="1"/>
  <c r="B73" i="1"/>
  <c r="B89" i="1"/>
  <c r="B105" i="1"/>
  <c r="B121" i="1"/>
  <c r="B137" i="1"/>
  <c r="B153" i="1"/>
  <c r="B169" i="1"/>
  <c r="B185" i="1"/>
  <c r="B201" i="1"/>
  <c r="B217" i="1"/>
  <c r="B233" i="1"/>
  <c r="B249" i="1"/>
  <c r="B265" i="1"/>
  <c r="B281" i="1"/>
  <c r="B297" i="1"/>
  <c r="B313" i="1"/>
  <c r="B329" i="1"/>
  <c r="B345" i="1"/>
  <c r="B361" i="1"/>
  <c r="B359" i="1"/>
  <c r="B18" i="1"/>
  <c r="B34" i="1"/>
  <c r="B50" i="1"/>
  <c r="B66" i="1"/>
  <c r="B82" i="1"/>
  <c r="B98" i="1"/>
  <c r="B114" i="1"/>
  <c r="B130" i="1"/>
  <c r="B146" i="1"/>
  <c r="B162" i="1"/>
  <c r="B178" i="1"/>
  <c r="B194" i="1"/>
  <c r="B210" i="1"/>
  <c r="B226" i="1"/>
  <c r="B242" i="1"/>
  <c r="B258" i="1"/>
  <c r="B274" i="1"/>
  <c r="B290" i="1"/>
  <c r="B306" i="1"/>
  <c r="B322" i="1"/>
  <c r="B338" i="1"/>
  <c r="B354" i="1"/>
  <c r="B2" i="1"/>
  <c r="C59" i="1"/>
  <c r="C123" i="1"/>
  <c r="C187" i="1"/>
  <c r="C251" i="1"/>
  <c r="C315" i="1"/>
  <c r="C4" i="1"/>
  <c r="C68" i="1"/>
  <c r="C132" i="1"/>
  <c r="C196" i="1"/>
  <c r="C260" i="1"/>
  <c r="C324" i="1"/>
  <c r="C25" i="1"/>
  <c r="C89" i="1"/>
  <c r="C153" i="1"/>
  <c r="C217" i="1"/>
  <c r="C281" i="1"/>
  <c r="C345" i="1"/>
  <c r="C42" i="1"/>
  <c r="C106" i="1"/>
  <c r="C170" i="1"/>
  <c r="C234" i="1"/>
  <c r="C298" i="1"/>
  <c r="C362" i="1"/>
  <c r="C63" i="1"/>
  <c r="C127" i="1"/>
  <c r="C191" i="1"/>
  <c r="C255" i="1"/>
  <c r="C319" i="1"/>
  <c r="C24" i="1"/>
  <c r="C88" i="1"/>
  <c r="C152" i="1"/>
  <c r="B15" i="1"/>
  <c r="B31" i="1"/>
  <c r="B47" i="1"/>
  <c r="B63" i="1"/>
  <c r="B79" i="1"/>
  <c r="B95" i="1"/>
  <c r="B111" i="1"/>
  <c r="B127" i="1"/>
  <c r="B143" i="1"/>
  <c r="B159" i="1"/>
  <c r="B175" i="1"/>
  <c r="B191" i="1"/>
  <c r="B207" i="1"/>
  <c r="B223" i="1"/>
  <c r="B239" i="1"/>
  <c r="B255" i="1"/>
  <c r="B271" i="1"/>
  <c r="B287" i="1"/>
  <c r="B303" i="1"/>
  <c r="B319" i="1"/>
  <c r="B4" i="1"/>
  <c r="B20" i="1"/>
  <c r="B36" i="1"/>
  <c r="B52" i="1"/>
  <c r="B68" i="1"/>
  <c r="B84" i="1"/>
  <c r="B100" i="1"/>
  <c r="B116" i="1"/>
  <c r="B132" i="1"/>
  <c r="B148" i="1"/>
  <c r="B164" i="1"/>
  <c r="B180" i="1"/>
  <c r="B196" i="1"/>
  <c r="B212" i="1"/>
  <c r="B228" i="1"/>
  <c r="B244" i="1"/>
  <c r="B260" i="1"/>
  <c r="B276" i="1"/>
  <c r="B292" i="1"/>
  <c r="B308" i="1"/>
  <c r="B324" i="1"/>
  <c r="B340" i="1"/>
  <c r="B356" i="1"/>
  <c r="B335" i="1"/>
  <c r="B13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58" i="1"/>
  <c r="B6" i="1"/>
  <c r="B22" i="1"/>
  <c r="B38" i="1"/>
  <c r="B54" i="1"/>
  <c r="B70" i="1"/>
  <c r="B86" i="1"/>
  <c r="B102" i="1"/>
  <c r="B118" i="1"/>
  <c r="B134" i="1"/>
  <c r="B150" i="1"/>
  <c r="B166" i="1"/>
  <c r="B182" i="1"/>
  <c r="B198" i="1"/>
  <c r="B214" i="1"/>
  <c r="B230" i="1"/>
  <c r="B246" i="1"/>
  <c r="B262" i="1"/>
  <c r="B278" i="1"/>
  <c r="B294" i="1"/>
  <c r="B310" i="1"/>
  <c r="B326" i="1"/>
  <c r="B342" i="1"/>
  <c r="B323" i="1"/>
  <c r="C11" i="1"/>
  <c r="C75" i="1"/>
  <c r="C139" i="1"/>
  <c r="C203" i="1"/>
  <c r="C267" i="1"/>
  <c r="C331" i="1"/>
  <c r="C20" i="1"/>
  <c r="C84" i="1"/>
  <c r="C148" i="1"/>
  <c r="C212" i="1"/>
  <c r="C276" i="1"/>
  <c r="C340" i="1"/>
  <c r="C41" i="1"/>
  <c r="C105" i="1"/>
  <c r="C169" i="1"/>
  <c r="C233" i="1"/>
  <c r="C297" i="1"/>
  <c r="C361" i="1"/>
  <c r="C58" i="1"/>
  <c r="C122" i="1"/>
  <c r="C186" i="1"/>
  <c r="C250" i="1"/>
  <c r="C314" i="1"/>
  <c r="C15" i="1"/>
  <c r="C79" i="1"/>
  <c r="C143" i="1"/>
  <c r="C207" i="1"/>
  <c r="C271" i="1"/>
  <c r="C335" i="1"/>
  <c r="C40" i="1"/>
  <c r="C104" i="1"/>
  <c r="C168" i="1"/>
  <c r="C232" i="1"/>
  <c r="C296" i="1"/>
  <c r="C360" i="1"/>
  <c r="C61" i="1"/>
  <c r="C125" i="1"/>
  <c r="B3" i="1"/>
  <c r="B19" i="1"/>
  <c r="B35" i="1"/>
  <c r="B51" i="1"/>
  <c r="B67" i="1"/>
  <c r="B83" i="1"/>
  <c r="B99" i="1"/>
  <c r="B115" i="1"/>
  <c r="B131" i="1"/>
  <c r="B147" i="1"/>
  <c r="B163" i="1"/>
  <c r="B179" i="1"/>
  <c r="B195" i="1"/>
  <c r="B211" i="1"/>
  <c r="B227" i="1"/>
  <c r="B243" i="1"/>
  <c r="B259" i="1"/>
  <c r="B275" i="1"/>
  <c r="B291" i="1"/>
  <c r="B307" i="1"/>
  <c r="B331" i="1"/>
  <c r="B8" i="1"/>
  <c r="B24" i="1"/>
  <c r="B40" i="1"/>
  <c r="B56" i="1"/>
  <c r="B72" i="1"/>
  <c r="B88" i="1"/>
  <c r="B104" i="1"/>
  <c r="B120" i="1"/>
  <c r="B136" i="1"/>
  <c r="B152" i="1"/>
  <c r="B168" i="1"/>
  <c r="B184" i="1"/>
  <c r="B200" i="1"/>
  <c r="B216" i="1"/>
  <c r="B232" i="1"/>
  <c r="B248" i="1"/>
  <c r="B264" i="1"/>
  <c r="B280" i="1"/>
  <c r="B296" i="1"/>
  <c r="B312" i="1"/>
  <c r="B328" i="1"/>
  <c r="B344" i="1"/>
  <c r="B360" i="1"/>
  <c r="B351" i="1"/>
  <c r="B17" i="1"/>
  <c r="B33" i="1"/>
  <c r="B49" i="1"/>
  <c r="B65" i="1"/>
  <c r="B81" i="1"/>
  <c r="B97" i="1"/>
  <c r="B113" i="1"/>
  <c r="B129" i="1"/>
  <c r="B145" i="1"/>
  <c r="B161" i="1"/>
  <c r="B177" i="1"/>
  <c r="B193" i="1"/>
  <c r="B209" i="1"/>
  <c r="B225" i="1"/>
  <c r="B241" i="1"/>
  <c r="B257" i="1"/>
  <c r="B273" i="1"/>
  <c r="B289" i="1"/>
  <c r="B305" i="1"/>
  <c r="B321" i="1"/>
  <c r="B337" i="1"/>
  <c r="B353" i="1"/>
  <c r="B327" i="1"/>
  <c r="B10" i="1"/>
  <c r="B26" i="1"/>
  <c r="B42" i="1"/>
  <c r="B58" i="1"/>
  <c r="B74" i="1"/>
  <c r="B90" i="1"/>
  <c r="B106" i="1"/>
  <c r="B122" i="1"/>
  <c r="B138" i="1"/>
  <c r="B154" i="1"/>
  <c r="B170" i="1"/>
  <c r="B186" i="1"/>
  <c r="B202" i="1"/>
  <c r="B218" i="1"/>
  <c r="B234" i="1"/>
  <c r="B250" i="1"/>
  <c r="B266" i="1"/>
  <c r="B282" i="1"/>
  <c r="B298" i="1"/>
  <c r="B314" i="1"/>
  <c r="B330" i="1"/>
  <c r="B346" i="1"/>
  <c r="B339" i="1"/>
  <c r="C27" i="1"/>
  <c r="C91" i="1"/>
  <c r="C155" i="1"/>
  <c r="C219" i="1"/>
  <c r="C283" i="1"/>
  <c r="C347" i="1"/>
  <c r="C36" i="1"/>
  <c r="C100" i="1"/>
  <c r="C164" i="1"/>
  <c r="C228" i="1"/>
  <c r="C292" i="1"/>
  <c r="C356" i="1"/>
  <c r="C57" i="1"/>
  <c r="C121" i="1"/>
  <c r="C185" i="1"/>
  <c r="C249" i="1"/>
  <c r="C313" i="1"/>
  <c r="C10" i="1"/>
  <c r="C74" i="1"/>
  <c r="C138" i="1"/>
  <c r="C202" i="1"/>
  <c r="C266" i="1"/>
  <c r="C330" i="1"/>
  <c r="C31" i="1"/>
  <c r="C95" i="1"/>
  <c r="C159" i="1"/>
  <c r="C223" i="1"/>
  <c r="C287" i="1"/>
  <c r="C351" i="1"/>
  <c r="C56" i="1"/>
  <c r="C120" i="1"/>
  <c r="C184" i="1"/>
  <c r="C248" i="1"/>
  <c r="C312" i="1"/>
  <c r="C13" i="1"/>
  <c r="C77" i="1"/>
  <c r="C200" i="1"/>
  <c r="C328" i="1"/>
  <c r="C93" i="1"/>
  <c r="C173" i="1"/>
  <c r="C237" i="1"/>
  <c r="C301" i="1"/>
  <c r="C14" i="1"/>
  <c r="C78" i="1"/>
  <c r="C142" i="1"/>
  <c r="C206" i="1"/>
  <c r="C270" i="1"/>
  <c r="C334" i="1"/>
  <c r="C35" i="1"/>
  <c r="C99" i="1"/>
  <c r="C163" i="1"/>
  <c r="C227" i="1"/>
  <c r="C291" i="1"/>
  <c r="C355" i="1"/>
  <c r="C60" i="1"/>
  <c r="C124" i="1"/>
  <c r="C188" i="1"/>
  <c r="C252" i="1"/>
  <c r="C316" i="1"/>
  <c r="C17" i="1"/>
  <c r="C81" i="1"/>
  <c r="C145" i="1"/>
  <c r="C209" i="1"/>
  <c r="C273" i="1"/>
  <c r="C337" i="1"/>
  <c r="C50" i="1"/>
  <c r="C114" i="1"/>
  <c r="C178" i="1"/>
  <c r="C242" i="1"/>
  <c r="C306" i="1"/>
  <c r="C7" i="1"/>
  <c r="C71" i="1"/>
  <c r="C135" i="1"/>
  <c r="C199" i="1"/>
  <c r="C263" i="1"/>
  <c r="C327" i="1"/>
  <c r="C32" i="1"/>
  <c r="C96" i="1"/>
  <c r="C160" i="1"/>
  <c r="C224" i="1"/>
  <c r="C288" i="1"/>
  <c r="C352" i="1"/>
  <c r="C53" i="1"/>
  <c r="C117" i="1"/>
  <c r="C181" i="1"/>
  <c r="C245" i="1"/>
  <c r="C309" i="1"/>
  <c r="C6" i="1"/>
  <c r="C70" i="1"/>
  <c r="C134" i="1"/>
  <c r="C198" i="1"/>
  <c r="C262" i="1"/>
  <c r="C326" i="1"/>
  <c r="C318" i="1"/>
  <c r="C211" i="1"/>
  <c r="C44" i="1"/>
  <c r="C236" i="1"/>
  <c r="C364" i="1"/>
  <c r="C193" i="1"/>
  <c r="C34" i="1"/>
  <c r="C162" i="1"/>
  <c r="C354" i="1"/>
  <c r="C183" i="1"/>
  <c r="C311" i="1"/>
  <c r="C144" i="1"/>
  <c r="C336" i="1"/>
  <c r="C37" i="1"/>
  <c r="C229" i="1"/>
  <c r="C54" i="1"/>
  <c r="C246" i="1"/>
  <c r="C2" i="1"/>
  <c r="C216" i="1"/>
  <c r="C344" i="1"/>
  <c r="C109" i="1"/>
  <c r="C189" i="1"/>
  <c r="C253" i="1"/>
  <c r="C317" i="1"/>
  <c r="C30" i="1"/>
  <c r="C94" i="1"/>
  <c r="C158" i="1"/>
  <c r="C222" i="1"/>
  <c r="C286" i="1"/>
  <c r="C350" i="1"/>
  <c r="C51" i="1"/>
  <c r="C115" i="1"/>
  <c r="C179" i="1"/>
  <c r="C243" i="1"/>
  <c r="C307" i="1"/>
  <c r="C12" i="1"/>
  <c r="C76" i="1"/>
  <c r="C140" i="1"/>
  <c r="C204" i="1"/>
  <c r="C268" i="1"/>
  <c r="C332" i="1"/>
  <c r="C33" i="1"/>
  <c r="C97" i="1"/>
  <c r="C161" i="1"/>
  <c r="C225" i="1"/>
  <c r="C289" i="1"/>
  <c r="C353" i="1"/>
  <c r="C66" i="1"/>
  <c r="C130" i="1"/>
  <c r="C194" i="1"/>
  <c r="C258" i="1"/>
  <c r="C322" i="1"/>
  <c r="C23" i="1"/>
  <c r="C87" i="1"/>
  <c r="C151" i="1"/>
  <c r="C215" i="1"/>
  <c r="C279" i="1"/>
  <c r="C343" i="1"/>
  <c r="C48" i="1"/>
  <c r="C112" i="1"/>
  <c r="C176" i="1"/>
  <c r="C240" i="1"/>
  <c r="C304" i="1"/>
  <c r="C5" i="1"/>
  <c r="C69" i="1"/>
  <c r="C133" i="1"/>
  <c r="C197" i="1"/>
  <c r="C261" i="1"/>
  <c r="C325" i="1"/>
  <c r="C22" i="1"/>
  <c r="C86" i="1"/>
  <c r="C150" i="1"/>
  <c r="C214" i="1"/>
  <c r="C278" i="1"/>
  <c r="C342" i="1"/>
  <c r="C166" i="1"/>
  <c r="C294" i="1"/>
  <c r="C280" i="1"/>
  <c r="C157" i="1"/>
  <c r="C221" i="1"/>
  <c r="C349" i="1"/>
  <c r="C126" i="1"/>
  <c r="C254" i="1"/>
  <c r="C19" i="1"/>
  <c r="C147" i="1"/>
  <c r="C339" i="1"/>
  <c r="C108" i="1"/>
  <c r="C300" i="1"/>
  <c r="C129" i="1"/>
  <c r="C257" i="1"/>
  <c r="C98" i="1"/>
  <c r="C290" i="1"/>
  <c r="C119" i="1"/>
  <c r="C247" i="1"/>
  <c r="C80" i="1"/>
  <c r="C272" i="1"/>
  <c r="C165" i="1"/>
  <c r="C293" i="1"/>
  <c r="C118" i="1"/>
  <c r="C310" i="1"/>
  <c r="C264" i="1"/>
  <c r="C29" i="1"/>
  <c r="C141" i="1"/>
  <c r="C205" i="1"/>
  <c r="C269" i="1"/>
  <c r="C333" i="1"/>
  <c r="C46" i="1"/>
  <c r="C110" i="1"/>
  <c r="C174" i="1"/>
  <c r="C238" i="1"/>
  <c r="C302" i="1"/>
  <c r="C3" i="1"/>
  <c r="C67" i="1"/>
  <c r="C131" i="1"/>
  <c r="C195" i="1"/>
  <c r="C259" i="1"/>
  <c r="C323" i="1"/>
  <c r="C28" i="1"/>
  <c r="C92" i="1"/>
  <c r="C156" i="1"/>
  <c r="C220" i="1"/>
  <c r="C284" i="1"/>
  <c r="C348" i="1"/>
  <c r="C49" i="1"/>
  <c r="C113" i="1"/>
  <c r="C177" i="1"/>
  <c r="C241" i="1"/>
  <c r="C305" i="1"/>
  <c r="C18" i="1"/>
  <c r="C82" i="1"/>
  <c r="C146" i="1"/>
  <c r="C210" i="1"/>
  <c r="C274" i="1"/>
  <c r="C338" i="1"/>
  <c r="C39" i="1"/>
  <c r="C103" i="1"/>
  <c r="C167" i="1"/>
  <c r="C231" i="1"/>
  <c r="C295" i="1"/>
  <c r="C359" i="1"/>
  <c r="C64" i="1"/>
  <c r="C128" i="1"/>
  <c r="C192" i="1"/>
  <c r="C256" i="1"/>
  <c r="C320" i="1"/>
  <c r="C21" i="1"/>
  <c r="C85" i="1"/>
  <c r="C149" i="1"/>
  <c r="C213" i="1"/>
  <c r="C277" i="1"/>
  <c r="C341" i="1"/>
  <c r="C38" i="1"/>
  <c r="C102" i="1"/>
  <c r="C230" i="1"/>
  <c r="C358" i="1"/>
  <c r="C45" i="1"/>
  <c r="C285" i="1"/>
  <c r="C62" i="1"/>
  <c r="C190" i="1"/>
  <c r="C83" i="1"/>
  <c r="C275" i="1"/>
  <c r="C172" i="1"/>
  <c r="C65" i="1"/>
  <c r="C321" i="1"/>
  <c r="C226" i="1"/>
  <c r="C55" i="1"/>
  <c r="C16" i="1"/>
  <c r="C208" i="1"/>
  <c r="C101" i="1"/>
  <c r="C357" i="1"/>
  <c r="C182" i="1"/>
  <c r="A165" i="1" l="1"/>
  <c r="A350" i="1"/>
  <c r="A247" i="1"/>
  <c r="A316" i="1"/>
  <c r="A144" i="1"/>
  <c r="A276" i="1"/>
  <c r="A246" i="1"/>
  <c r="A101" i="1"/>
  <c r="A129" i="1"/>
  <c r="A274" i="1"/>
  <c r="A344" i="1"/>
  <c r="A84" i="1"/>
  <c r="A189" i="1"/>
  <c r="A64" i="1"/>
  <c r="A348" i="1"/>
  <c r="A255" i="1"/>
  <c r="A261" i="1"/>
  <c r="A200" i="1"/>
  <c r="A43" i="1"/>
  <c r="A4" i="1"/>
  <c r="A62" i="1"/>
  <c r="A330" i="1"/>
  <c r="A237" i="1"/>
  <c r="A112" i="1"/>
  <c r="A19" i="1"/>
  <c r="A191" i="1"/>
  <c r="A197" i="1"/>
  <c r="A8" i="1"/>
  <c r="A196" i="1"/>
  <c r="A39" i="1"/>
  <c r="A33" i="1"/>
  <c r="A173" i="1"/>
  <c r="A48" i="1"/>
  <c r="A322" i="1"/>
  <c r="A238" i="1"/>
  <c r="A166" i="1"/>
  <c r="A265" i="1"/>
  <c r="A9" i="1"/>
  <c r="A140" i="1"/>
  <c r="A239" i="1"/>
  <c r="A146" i="1"/>
  <c r="A245" i="1"/>
  <c r="A345" i="1"/>
  <c r="A120" i="1"/>
  <c r="A219" i="1"/>
  <c r="A116" i="1"/>
  <c r="A215" i="1"/>
  <c r="A174" i="1"/>
  <c r="A273" i="1"/>
  <c r="A351" i="1"/>
  <c r="A122" i="1"/>
  <c r="A221" i="1"/>
  <c r="A352" i="1"/>
  <c r="A96" i="1"/>
  <c r="A195" i="1"/>
  <c r="A198" i="1"/>
  <c r="A292" i="1"/>
  <c r="A185" i="1"/>
  <c r="A154" i="1"/>
  <c r="A37" i="1"/>
  <c r="A178" i="1"/>
  <c r="A305" i="1"/>
  <c r="A249" i="1"/>
  <c r="A331" i="1"/>
  <c r="A333" i="1"/>
  <c r="A134" i="1"/>
  <c r="A114" i="1"/>
  <c r="A346" i="1"/>
  <c r="A287" i="1"/>
  <c r="A298" i="1"/>
  <c r="A25" i="1"/>
  <c r="A50" i="1"/>
  <c r="A251" i="1"/>
  <c r="A78" i="1"/>
  <c r="A253" i="1"/>
  <c r="A290" i="1"/>
  <c r="A118" i="1"/>
  <c r="A60" i="1"/>
  <c r="A168" i="1"/>
  <c r="A263" i="1"/>
  <c r="A170" i="1"/>
  <c r="A243" i="1"/>
  <c r="A262" i="1"/>
  <c r="A300" i="1"/>
  <c r="A21" i="1"/>
  <c r="A20" i="1"/>
  <c r="A49" i="1"/>
  <c r="A338" i="1"/>
  <c r="A150" i="1"/>
  <c r="A169" i="1"/>
  <c r="A124" i="1"/>
  <c r="A130" i="1"/>
  <c r="A360" i="1"/>
  <c r="A203" i="1"/>
  <c r="A100" i="1"/>
  <c r="A158" i="1"/>
  <c r="A362" i="1"/>
  <c r="A205" i="1"/>
  <c r="A80" i="1"/>
  <c r="A226" i="1"/>
  <c r="A2" i="1"/>
  <c r="A54" i="1"/>
  <c r="A57" i="1"/>
  <c r="A335" i="1"/>
  <c r="A341" i="1"/>
  <c r="A216" i="1"/>
  <c r="A59" i="1"/>
  <c r="A311" i="1"/>
  <c r="A14" i="1"/>
  <c r="A218" i="1"/>
  <c r="A61" i="1"/>
  <c r="A291" i="1"/>
  <c r="A220" i="1"/>
  <c r="A127" i="1"/>
  <c r="A133" i="1"/>
  <c r="A72" i="1"/>
  <c r="A231" i="1"/>
  <c r="A202" i="1"/>
  <c r="A109" i="1"/>
  <c r="A339" i="1"/>
  <c r="A284" i="1"/>
  <c r="A63" i="1"/>
  <c r="A5" i="1"/>
  <c r="A235" i="1"/>
  <c r="A68" i="1"/>
  <c r="A126" i="1"/>
  <c r="A266" i="1"/>
  <c r="A45" i="1"/>
  <c r="A275" i="1"/>
  <c r="A359" i="1"/>
  <c r="A358" i="1"/>
  <c r="A102" i="1"/>
  <c r="A201" i="1"/>
  <c r="A332" i="1"/>
  <c r="A76" i="1"/>
  <c r="A175" i="1"/>
  <c r="A82" i="1"/>
  <c r="A181" i="1"/>
  <c r="A312" i="1"/>
  <c r="A56" i="1"/>
  <c r="A155" i="1"/>
  <c r="A308" i="1"/>
  <c r="A52" i="1"/>
  <c r="A151" i="1"/>
  <c r="A110" i="1"/>
  <c r="A209" i="1"/>
  <c r="A314" i="1"/>
  <c r="A58" i="1"/>
  <c r="A157" i="1"/>
  <c r="A288" i="1"/>
  <c r="A32" i="1"/>
  <c r="A131" i="1"/>
  <c r="A188" i="1"/>
  <c r="A272" i="1"/>
  <c r="A152" i="1"/>
  <c r="A343" i="1"/>
  <c r="A65" i="1"/>
  <c r="A277" i="1"/>
  <c r="A318" i="1"/>
  <c r="A95" i="1"/>
  <c r="A71" i="1"/>
  <c r="A51" i="1"/>
  <c r="A108" i="1"/>
  <c r="A142" i="1"/>
  <c r="A22" i="1"/>
  <c r="A36" i="1"/>
  <c r="A342" i="1"/>
  <c r="A217" i="1"/>
  <c r="A40" i="1"/>
  <c r="A115" i="1"/>
  <c r="A172" i="1"/>
  <c r="A17" i="1"/>
  <c r="A177" i="1"/>
  <c r="A361" i="1"/>
  <c r="A297" i="1"/>
  <c r="A31" i="1"/>
  <c r="A267" i="1"/>
  <c r="A7" i="1"/>
  <c r="A269" i="1"/>
  <c r="A354" i="1"/>
  <c r="A86" i="1"/>
  <c r="A44" i="1"/>
  <c r="A24" i="1"/>
  <c r="A119" i="1"/>
  <c r="A26" i="1"/>
  <c r="A99" i="1"/>
  <c r="A206" i="1"/>
  <c r="A70" i="1"/>
  <c r="A89" i="1"/>
  <c r="A363" i="1"/>
  <c r="A232" i="1"/>
  <c r="A75" i="1"/>
  <c r="A327" i="1"/>
  <c r="A30" i="1"/>
  <c r="A234" i="1"/>
  <c r="A77" i="1"/>
  <c r="A307" i="1"/>
  <c r="A258" i="1"/>
  <c r="A310" i="1"/>
  <c r="A313" i="1"/>
  <c r="A364" i="1"/>
  <c r="A207" i="1"/>
  <c r="A213" i="1"/>
  <c r="A88" i="1"/>
  <c r="A340" i="1"/>
  <c r="A183" i="1"/>
  <c r="A241" i="1"/>
  <c r="A90" i="1"/>
  <c r="A320" i="1"/>
  <c r="A163" i="1"/>
  <c r="A156" i="1"/>
  <c r="A162" i="1"/>
  <c r="A69" i="1"/>
  <c r="A299" i="1"/>
  <c r="A260" i="1"/>
  <c r="A103" i="1"/>
  <c r="A225" i="1"/>
  <c r="A74" i="1"/>
  <c r="A211" i="1"/>
  <c r="A92" i="1"/>
  <c r="A98" i="1"/>
  <c r="A264" i="1"/>
  <c r="A107" i="1"/>
  <c r="A295" i="1"/>
  <c r="A289" i="1"/>
  <c r="A138" i="1"/>
  <c r="A304" i="1"/>
  <c r="A83" i="1"/>
  <c r="A254" i="1"/>
  <c r="A294" i="1"/>
  <c r="A38" i="1"/>
  <c r="A137" i="1"/>
  <c r="A268" i="1"/>
  <c r="A12" i="1"/>
  <c r="A111" i="1"/>
  <c r="A18" i="1"/>
  <c r="A117" i="1"/>
  <c r="A248" i="1"/>
  <c r="A355" i="1"/>
  <c r="A91" i="1"/>
  <c r="A244" i="1"/>
  <c r="A347" i="1"/>
  <c r="A87" i="1"/>
  <c r="A46" i="1"/>
  <c r="A145" i="1"/>
  <c r="A250" i="1"/>
  <c r="A357" i="1"/>
  <c r="A93" i="1"/>
  <c r="A224" i="1"/>
  <c r="A323" i="1"/>
  <c r="A67" i="1"/>
  <c r="A193" i="1"/>
  <c r="A143" i="1"/>
  <c r="A227" i="1"/>
  <c r="A164" i="1"/>
  <c r="A105" i="1"/>
  <c r="A256" i="1"/>
  <c r="A252" i="1"/>
  <c r="A228" i="1"/>
  <c r="A208" i="1"/>
  <c r="A153" i="1"/>
  <c r="A187" i="1"/>
  <c r="A210" i="1"/>
  <c r="A296" i="1"/>
  <c r="A16" i="1"/>
  <c r="A242" i="1"/>
  <c r="A159" i="1"/>
  <c r="A135" i="1"/>
  <c r="A42" i="1"/>
  <c r="A182" i="1"/>
  <c r="A149" i="1"/>
  <c r="A278" i="1"/>
  <c r="A41" i="1"/>
  <c r="A66" i="1"/>
  <c r="A139" i="1"/>
  <c r="A94" i="1"/>
  <c r="A141" i="1"/>
  <c r="A334" i="1"/>
  <c r="A6" i="1"/>
  <c r="A271" i="1"/>
  <c r="A280" i="1"/>
  <c r="A148" i="1"/>
  <c r="A282" i="1"/>
  <c r="A128" i="1"/>
  <c r="A194" i="1"/>
  <c r="A121" i="1"/>
  <c r="A293" i="1"/>
  <c r="A11" i="1"/>
  <c r="A321" i="1"/>
  <c r="A13" i="1"/>
  <c r="A281" i="1"/>
  <c r="A15" i="1"/>
  <c r="A123" i="1"/>
  <c r="A222" i="1"/>
  <c r="A125" i="1"/>
  <c r="A302" i="1"/>
  <c r="A326" i="1"/>
  <c r="A349" i="1"/>
  <c r="A353" i="1"/>
  <c r="A223" i="1"/>
  <c r="A229" i="1"/>
  <c r="A104" i="1"/>
  <c r="A356" i="1"/>
  <c r="A199" i="1"/>
  <c r="A257" i="1"/>
  <c r="A106" i="1"/>
  <c r="A336" i="1"/>
  <c r="A179" i="1"/>
  <c r="A286" i="1"/>
  <c r="A214" i="1"/>
  <c r="A233" i="1"/>
  <c r="A236" i="1"/>
  <c r="A79" i="1"/>
  <c r="A85" i="1"/>
  <c r="A315" i="1"/>
  <c r="A212" i="1"/>
  <c r="A55" i="1"/>
  <c r="A113" i="1"/>
  <c r="A317" i="1"/>
  <c r="A192" i="1"/>
  <c r="A35" i="1"/>
  <c r="A28" i="1"/>
  <c r="A34" i="1"/>
  <c r="A328" i="1"/>
  <c r="A171" i="1"/>
  <c r="A132" i="1"/>
  <c r="A190" i="1"/>
  <c r="A97" i="1"/>
  <c r="A301" i="1"/>
  <c r="A240" i="1"/>
  <c r="A147" i="1"/>
  <c r="A319" i="1"/>
  <c r="A325" i="1"/>
  <c r="A136" i="1"/>
  <c r="A324" i="1"/>
  <c r="A167" i="1"/>
  <c r="A161" i="1"/>
  <c r="A10" i="1"/>
  <c r="A176" i="1"/>
  <c r="A270" i="1"/>
  <c r="A306" i="1"/>
  <c r="A230" i="1"/>
  <c r="A329" i="1"/>
  <c r="A73" i="1"/>
  <c r="A204" i="1"/>
  <c r="A303" i="1"/>
  <c r="A47" i="1"/>
  <c r="A309" i="1"/>
  <c r="A53" i="1"/>
  <c r="A184" i="1"/>
  <c r="A283" i="1"/>
  <c r="A27" i="1"/>
  <c r="A180" i="1"/>
  <c r="A279" i="1"/>
  <c r="A23" i="1"/>
  <c r="A337" i="1"/>
  <c r="A81" i="1"/>
  <c r="A186" i="1"/>
  <c r="A285" i="1"/>
  <c r="A29" i="1"/>
  <c r="A160" i="1"/>
  <c r="A259" i="1"/>
  <c r="A3" i="1"/>
</calcChain>
</file>

<file path=xl/sharedStrings.xml><?xml version="1.0" encoding="utf-8"?>
<sst xmlns="http://schemas.openxmlformats.org/spreadsheetml/2006/main" count="782" uniqueCount="413">
  <si>
    <t>(S15) - Matteo Maximin - CB,TPE: 50, http://nsfl.jcink.net/index.php?showtopic=12198,</t>
  </si>
  <si>
    <t>(S15) - Paul DiMirio III - K/P,TPE: 50, http://nsfl.jcink.net/index.php?showtopic=12009,</t>
  </si>
  <si>
    <t>(S15) - Ronald St. James III - RB,TPE: 50, http://nsfl.jcink.net/index.php?showtopic=12223,</t>
  </si>
  <si>
    <t>(S15) - Proy Tolamalu  - S,TPE: 50, http://nsfl.jcink.net/index.php?showtopic=12226,</t>
  </si>
  <si>
    <t>(S15) - Jay Quick - RB,TPE: 50, http://nsfl.jcink.net/index.php?showtopic=12675,</t>
  </si>
  <si>
    <t>(S15) - Mick Moekr - DE,TPE: 50, http://nsfl.jcink.net/index.php?showtopic=12311,</t>
  </si>
  <si>
    <t>(S15) - Buddha Lebowski - LB,TPE: 50, http://nsfl.jcink.net/index.php?showtopic=12206,</t>
  </si>
  <si>
    <t>(S15) - Christopher Loren - CB,TPE: 50, http://nsfl.jcink.net/index.php?showtopic=12091,</t>
  </si>
  <si>
    <t>(S15) - Brayden Larosee - S,TPE: 50, http://nsfl.jcink.net/index.php?showtopic=11990,</t>
  </si>
  <si>
    <t>(S14) - Cody Kupp - S,TPE: 57, http://nsfl.jcink.net/index.php?showtopic=11768,</t>
  </si>
  <si>
    <t>(S14) - Cam Poole - S,TPE: 57, http://nsfl.jcink.net/index.php?showtopic=11742,</t>
  </si>
  <si>
    <t>(S14) - Žak Korošec - K/P,TPE: 50, http://nsfl.jcink.net/index.php?showtopic=11604,</t>
  </si>
  <si>
    <t>(S13) - Rembrandt Khalil-Bugatti - DT,TPE: 63, http://nsfl.jcink.net/index.php?showtopic=11444,</t>
  </si>
  <si>
    <t>(S13) - J.N. Nova - WR,TPE: 108, http://nsfl.jcink.net/index.php?showtopic=11406,</t>
  </si>
  <si>
    <t>(S12) - Stayve Jerome Thomas - DE,TPE: 135, http://nsfl.jcink.net/index.php?showtopic=11032,</t>
  </si>
  <si>
    <t>(S12) - James Wade - RB,TPE: 57, http://nsfl.jcink.net/index.php?showtopic=10911,</t>
  </si>
  <si>
    <t>(S12) - Krispy Kreme - WR,TPE: 178, http://nsfl.jcink.net/index.php?showtopic=10792,</t>
  </si>
  <si>
    <t>(S12) - Luke Boechler - QB,TPE: 282, http://nsfl.jcink.net/index.php?showtopic=10523,</t>
  </si>
  <si>
    <t>(S12) - Derek Bohne - S,TPE: 187, http://nsfl.jcink.net/index.php?showtopic=10449,</t>
  </si>
  <si>
    <t>(S11) - Ace Boogie Jr. - CB,TPE: 62, http://nsfl.jcink.net/index.php?showtopic=10446,</t>
  </si>
  <si>
    <t>(S10) - Jake Verden - CB,TPE: 138, http://nsfl.jcink.net/index.php?showtopic=9637,</t>
  </si>
  <si>
    <t>(S15) - John Tebow - QB,TPE: 50, http://nsfl.jcink.net/index.php?showtopic=12526,</t>
  </si>
  <si>
    <t>(S15) - D'Angelo Thompson - S,TPE: 50, http://nsfl.jcink.net/index.php?showtopic=12299,</t>
  </si>
  <si>
    <t>(S15) - Poster Nutbag - DT,TPE: 50, http://nsfl.jcink.net/index.php?showtopic=12154,</t>
  </si>
  <si>
    <t>(S15) - Luke South - TE,TPE: 50, http://nsfl.jcink.net/index.php?showtopic=12153,</t>
  </si>
  <si>
    <t>(S10) - Brock St. Winchester - LB,TPE: 50, http://nsfl.jcink.net/index.php?showtopic=9569,</t>
  </si>
  <si>
    <t>(S10) - Trey Westfield - WR,TPE: 50, http://nsfl.jcink.net/index.php?showtopic=9568,</t>
  </si>
  <si>
    <t>(S10) - Buzz Swaggerty - QB,TPE: 50, http://nsfl.jcink.net/index.php?showtopic=9567,</t>
  </si>
  <si>
    <t>(S15) - Jameis Harrison - LB,TPE: 50, http://nsfl.jcink.net/index.php?showtopic=12417,</t>
  </si>
  <si>
    <t>(S15) - Khalil Sack - DE,TPE: 50, http://nsfl.jcink.net/index.php?showtopic=12275,</t>
  </si>
  <si>
    <t>(S15) - Thad Castle -  LB,TPE: 50, http://nsfl.jcink.net/index.php?showtopic=12257,</t>
  </si>
  <si>
    <t>(S15) - Gimmy Jaroppolo - QB,TPE: 50, http://nsfl.jcink.net/index.php?showtopic=12140,</t>
  </si>
  <si>
    <t>(S15) - André Thornton - WR,TPE: 50, http://nsfl.jcink.net/index.php?showtopic=11988,</t>
  </si>
  <si>
    <t>(S15) - Pablo Sanchez - LB,TPE: 50, http://nsfl.jcink.net/index.php?showtopic=12493,</t>
  </si>
  <si>
    <t>(S15) - Gregor Clegaine - OL,TPE: 50, http://nsfl.jcink.net/index.php?showtopic=12204,</t>
  </si>
  <si>
    <t>(S15) - Taters Johnson - CB,TPE: 50, http://nsfl.jcink.net/index.php?showtopic=12180,</t>
  </si>
  <si>
    <t>(S15) - Justin Tyme - LB,TPE: 50, http://nsfl.jcink.net/index.php?showtopic=12168,</t>
  </si>
  <si>
    <t>(S14) - Adam Hardin - QB,TPE: 55, http://nsfl.jcink.net/index.php?showtopic=11755,</t>
  </si>
  <si>
    <t>(S14) - Ricky Enbalse - LB,TPE: 50, http://nsfl.jcink.net/index.php?showtopic=11738,</t>
  </si>
  <si>
    <t>(S14) - Stanley Marshall - CB,TPE: 50, http://nsfl.jcink.net/index.php?showtopic=11615,</t>
  </si>
  <si>
    <t>(S12) - Roman Stakowski - TE,TPE: 227, http://nsfl.jcink.net/index.php?showtopic=10886,</t>
  </si>
  <si>
    <t>(S12) - Grayson Wayne - S,TPE: 50, http://nsfl.jcink.net/index.php?showtopic=10806,</t>
  </si>
  <si>
    <t>(S12) - Beauregard Smallwood-Chess - RB,TPE: 136, http://nsfl.jcink.net/index.php?showtopic=10741,</t>
  </si>
  <si>
    <t>(S12) - Roderick Castleberry - K/P,TPE: 95, http://nsfl.jcink.net/index.php?showtopic=10470,</t>
  </si>
  <si>
    <t>(S15) - Lawalin Tae'orr - LB,TPE: 50, http://nsfl.jcink.net/index.php?showtopic=12381,</t>
  </si>
  <si>
    <t>(S15) - Franklin Cooper - S,TPE: 50, http://nsfl.jcink.net/index.php?showtopic=12363,</t>
  </si>
  <si>
    <t>(S15) - Memphis Wilkerson - DE,TPE: 50, http://nsfl.jcink.net/index.php?showtopic=12276,</t>
  </si>
  <si>
    <t>(S15) - Neon Demon - CB,TPE: 50, http://nsfl.jcink.net/index.php?showtopic=12144,</t>
  </si>
  <si>
    <t>(S15) - Shaquill &amp;quot;The Thrill&amp;quot; Williams VII - S,TPE: 64, http://nsfl.jcink.net/index.php?showtopic=12034,</t>
  </si>
  <si>
    <t>(S14) - Buchanan Simons - CB,TPE: 50, http://nsfl.jcink.net/index.php?showtopic=11947,</t>
  </si>
  <si>
    <t>(S14) - Thad Castle - LB,TPE: 55, http://nsfl.jcink.net/index.php?showtopic=11775,</t>
  </si>
  <si>
    <t>(S14) - James Andrews - DE,TPE: 50, http://nsfl.jcink.net/index.php?showtopic=11764,</t>
  </si>
  <si>
    <t>(S14) - Drew Maddox - WR,TPE: 79, http://nsfl.jcink.net/index.php?showtopic=11747,</t>
  </si>
  <si>
    <t>(S14) - Joseph Henry - DE,TPE: 158, http://nsfl.jcink.net/index.php?showtopic=11706,</t>
  </si>
  <si>
    <t>(S13) - Eric McStrong - DE,TPE: 50, http://nsfl.jcink.net/index.php?showtopic=11044,</t>
  </si>
  <si>
    <t>(S12) - Jon Gott - LB,TPE: 148, http://nsfl.jcink.net/index.php?showtopic=10973,</t>
  </si>
  <si>
    <t>(S11) - Spencer Lawes - K/P,TPE: 110, http://nsfl.jcink.net/index.php?showtopic=10390,</t>
  </si>
  <si>
    <t>(S11) - Clark Kent - LB,TPE: 81, http://nsfl.jcink.net/index.php?showtopic=10046,</t>
  </si>
  <si>
    <t>(S15) - Luca Ramero - WR,TPE: 50, http://nsfl.jcink.net/index.php?showtopic=12688,</t>
  </si>
  <si>
    <t>(S15) - Trey Moffat - RB,TPE: 50, http://nsfl.jcink.net/index.php?showtopic=12127,</t>
  </si>
  <si>
    <t>(S15) - Troy Bryant - CB,TPE: 57, http://nsfl.jcink.net/index.php?showtopic=12022,</t>
  </si>
  <si>
    <t>(S14) - Dingus Hunk - DT,TPE: 82, http://nsfl.jcink.net/index.php?showtopic=11785,</t>
  </si>
  <si>
    <t>(S14) - Brett Tacony - WR,TPE: 57, http://nsfl.jcink.net/index.php?showtopic=11735,</t>
  </si>
  <si>
    <t>(S14) - Stephen Harris Jr - K/P,TPE: 131, http://nsfl.jcink.net/index.php?showtopic=11652,</t>
  </si>
  <si>
    <t>(S13) - Kyle Frost - K/P,TPE: 74, http://nsfl.jcink.net/index.php?showtopic=11500,</t>
  </si>
  <si>
    <t>(S13) - Dick Cheese Jr. - LB,TPE: 99, http://nsfl.jcink.net/index.php?showtopic=11150,</t>
  </si>
  <si>
    <t>(S12) - CJ Henderson - CB,TPE: 81, http://nsfl.jcink.net/index.php?showtopic=10787,</t>
  </si>
  <si>
    <t>(S12) - Daniel Amon - QB,TPE: 61, http://nsfl.jcink.net/index.php?showtopic=10632,</t>
  </si>
  <si>
    <t>(S12) - Thomas Nova - WR,TPE: 50, http://nsfl.jcink.net/index.php?showtopic=10617,</t>
  </si>
  <si>
    <t>(S12) - Thomas Clark - DT,TPE: 125, http://nsfl.jcink.net/index.php?showtopic=10454,</t>
  </si>
  <si>
    <t>(S11) - Zoro Roronoa - RB,TPE: 168, http://nsfl.jcink.net/index.php?showtopic=10182,</t>
  </si>
  <si>
    <t>(S11) - Berrell Trister - WR,TPE: 67, http://nsfl.jcink.net/index.php?showtopic=10072,</t>
  </si>
  <si>
    <t>(S10) - Lanoi Arnold - DT,TPE: 50, http://nsfl.jcink.net/index.php?showtopic=9730,</t>
  </si>
  <si>
    <t>(S10) - Tanner Hendrix - WR,TPE: 90, http://nsfl.jcink.net/index.php?showtopic=9325,</t>
  </si>
  <si>
    <t>(S10) - Con Nair - CB,TPE: 50, http://nsfl.jcink.net/index.php?showtopic=9228,</t>
  </si>
  <si>
    <t>(S14) - Ma Goomba - OL,TPE: 57, http://nsfl.jcink.net/index.php?showtopic=11739,</t>
  </si>
  <si>
    <t>(S13) - Jaren Haden - LB,TPE: 69, http://nsfl.jcink.net/index.php?showtopic=11074,</t>
  </si>
  <si>
    <t>(S13) - Jordan McCann - DT,TPE: 52, http://nsfl.jcink.net/index.php?showtopic=11043,</t>
  </si>
  <si>
    <t>(S12) - Cole Walker - DE,TPE: 99, http://nsfl.jcink.net/index.php?showtopic=10765,</t>
  </si>
  <si>
    <t>(S12) - Jeffery Murphy - CB,TPE: 240, http://nsfl.jcink.net/index.php?showtopic=10668,</t>
  </si>
  <si>
    <t>(S12) - Sam Hardwick - WR,TPE: 396, http://nsfl.jcink.net/index.php?showtopic=10466,</t>
  </si>
  <si>
    <t>(S11) - Harvey Kindle - WR,TPE: 172, http://nsfl.jcink.net/index.php?showtopic=10118,</t>
  </si>
  <si>
    <t>(S11) - Steven Moore - TE,TPE: 316, http://nsfl.jcink.net/index.php?showtopic=10062,</t>
  </si>
  <si>
    <t>(S10) - A.J. Robertson - LB,TPE: 249, http://nsfl.jcink.net/index.php?showtopic=9815,</t>
  </si>
  <si>
    <t>(S10) - Emilia Rudd - TE,TPE: 153, http://nsfl.jcink.net/index.php?showtopic=9469,</t>
  </si>
  <si>
    <t>(S10) - Shannon Hobbs - S,TPE: 334, http://nsfl.jcink.net/index.php?showtopic=9349,</t>
  </si>
  <si>
    <t>(S10) - Felix Hasselhoff - WR,TPE: 338, http://nsfl.jcink.net/index.php?showtopic=9243,</t>
  </si>
  <si>
    <t>(S9) - John Springfield - S,TPE: 57, http://nsfl.jcink.net/index.php?showtopic=9117,</t>
  </si>
  <si>
    <t>(S9) - Tyler Griffin - LB,TPE: 86, http://nsfl.jcink.net/index.php?showtopic=8796,</t>
  </si>
  <si>
    <t>(S9) - Jai Turner - WR,TPE: 76, http://nsfl.jcink.net/index.php?showtopic=8627,</t>
  </si>
  <si>
    <t>(S8) - Hammer Jack - CB,TPE: 73, http://nsfl.jcink.net/index.php?showtopic=8209,</t>
  </si>
  <si>
    <t>(S8) - Fonz Nuno - DE,TPE: 67, http://nsfl.jcink.net/index.php?showtopic=8230,</t>
  </si>
  <si>
    <t>(S6) - Borro Gore - RB,TPE: 150, http://nsfl.jcink.net/index.php?showtopic=6978,</t>
  </si>
  <si>
    <t>(S6) - Norman Bagwell - DE,TPE: 201, http://nsfl.jcink.net/index.php?showtopic=6214,</t>
  </si>
  <si>
    <t>(S5) - Dean Jackson - K/P,TPE: 686, http://nsfl.jcink.net/index.php?showtopic=5481,</t>
  </si>
  <si>
    <t>(S3) - Trey Willie - WR,TPE: 243, http://nsfl.jcink.net/index.php?showtopic=2894,</t>
  </si>
  <si>
    <t>(S13) - Corey Trevor - RB,TPE: 190, http://nsfl.jcink.net/index.php?showtopic=11114,</t>
  </si>
  <si>
    <t>(S13) - Alex Frost - K/P,TPE: 141, http://nsfl.jcink.net/index.php?showtopic=11163,</t>
  </si>
  <si>
    <t>(S12) - Arbin Asipi III - CB,TPE: 491, http://nsfl.jcink.net/index.php?showtopic=10598,</t>
  </si>
  <si>
    <t>(S11) - Yulic Nagasawa - WR,TPE: 500, http://nsfl.jcink.net/index.php?showtopic=10024,</t>
  </si>
  <si>
    <t>(S10) - Steven Oats - S,TPE: 395, http://nsfl.jcink.net/index.php?showtopic=9412,</t>
  </si>
  <si>
    <t>(S10) - Achilles Hondo - CB,TPE: 685, http://nsfl.jcink.net/index.php?showtopic=9347,</t>
  </si>
  <si>
    <t>(S9) - Declan Harp - TE,TPE: 740, http://nsfl.jcink.net/index.php?showtopic=8580,</t>
  </si>
  <si>
    <t>(S5) - Gregory Fletcher - CB,TPE: 229, http://nsfl.jcink.net/index.php?showtopic=5358,</t>
  </si>
  <si>
    <t>(S5) - Andre Bly Jr. - CB,TPE: 410, http://nsfl.jcink.net/index.php?showtopic=5130,</t>
  </si>
  <si>
    <t>(S4) - Blackford Oakes - S,TPE: 517, http://nsfl.jcink.net/index.php?showtopic=4964,</t>
  </si>
  <si>
    <t>(S12) - Joey Sachs - DE,TPE: 162, http://nsfl.jcink.net/index.php?showtopic=10967,</t>
  </si>
  <si>
    <t>(S12) - Soupy McBrain - LB,TPE: 155, http://nsfl.jcink.net/index.php?showtopic=10834,</t>
  </si>
  <si>
    <t>(S12) - Jonathan Towers - S,TPE: 182, http://nsfl.jcink.net/index.php?showtopic=10712,</t>
  </si>
  <si>
    <t>(S12) - Sam Garrad - DT,TPE: 249, http://nsfl.jcink.net/index.php?showtopic=10550,</t>
  </si>
  <si>
    <t>(S10) - Odell Marrett - DE,TPE: 97, http://nsfl.jcink.net/index.php?showtopic=9401,</t>
  </si>
  <si>
    <t>(S9) - Oskar Ludvig - CB,TPE: 130, http://nsfl.jcink.net/index.php?showtopic=9037,</t>
  </si>
  <si>
    <t>(S9) - ShaDarrien LaMelllana - WR,TPE: 259, http://nsfl.jcink.net/index.php?showtopic=8653,</t>
  </si>
  <si>
    <t>(S7) - Mark Grau - RB,TPE: 339, http://nsfl.jcink.net/index.php?showtopic=7561,</t>
  </si>
  <si>
    <t>(S7) - Alvin Chipmunk - TE,TPE: 161, http://nsfl.jcink.net/index.php?showtopic=7263,</t>
  </si>
  <si>
    <t>(S7) - Howard Miller - WR,TPE: 984, http://nsfl.jcink.net/index.php?showtopic=7221,</t>
  </si>
  <si>
    <t>(S6) - Brian Mills - LB,TPE: 579, http://nsfl.jcink.net/index.php?showtopic=6405,</t>
  </si>
  <si>
    <t>(S5) - Michael Tillman - S,TPE: 238, http://nsfl.jcink.net/index.php?showtopic=5621,</t>
  </si>
  <si>
    <t>(S4) - Haruki Ishigawa - DE,TPE: 224, http://nsfl.jcink.net/index.php?showtopic=4656,</t>
  </si>
  <si>
    <t>(S13) - Harvey Danger - TE,TPE: 67, http://nsfl.jcink.net/index.php?showtopic=11075,</t>
  </si>
  <si>
    <t>(S12) - Shane Trigg - DT,TPE: 50, http://nsfl.jcink.net/index.php?showtopic=10984,</t>
  </si>
  <si>
    <t>(S11) - Blake Bishop - QB,TPE: 50, http://nsfl.jcink.net/index.php?showtopic=9836,</t>
  </si>
  <si>
    <t>(S10) - Augustin LaDande - WR,TPE: 50, http://nsfl.jcink.net/index.php?showtopic=9738,</t>
  </si>
  <si>
    <t>(S10) - Ray Slick - LB,TPE: 57, http://nsfl.jcink.net/index.php?showtopic=9726,</t>
  </si>
  <si>
    <t>(S10) - Adam Krossman - RB,TPE: 76, http://nsfl.jcink.net/index.php?showtopic=9540,</t>
  </si>
  <si>
    <t>(S10) - Ricky Flores - RB,TPE: 90, http://nsfl.jcink.net/index.php?showtopic=9504,</t>
  </si>
  <si>
    <t>(S10) - Zenyou Wozy - QB,TPE: 358, http://nsfl.jcink.net/index.php?showtopic=9364,</t>
  </si>
  <si>
    <t>(S10) - Taylor Peterson - WR,TPE: 108, http://nsfl.jcink.net/index.php?showtopic=9321,</t>
  </si>
  <si>
    <t>(S9) - Deion Jackson - WR,TPE: 57, http://nsfl.jcink.net/index.php?showtopic=9132,</t>
  </si>
  <si>
    <t>(S9) - Fin Jameson - LB,TPE: 57, http://nsfl.jcink.net/index.php?showtopic=9110,</t>
  </si>
  <si>
    <t>(S9) - Andreas Metaxas - QB,TPE: 381, http://nsfl.jcink.net/index.php?showtopic=9076,</t>
  </si>
  <si>
    <t>(S9) - Robert Jordan - LB,TPE: 60, http://nsfl.jcink.net/index.php?showtopic=8859,</t>
  </si>
  <si>
    <t>(S9) - LaMarcus Strike - RB,TPE: 169, http://nsfl.jcink.net/index.php?showtopic=8857,</t>
  </si>
  <si>
    <t>(S9) - Alsan Arshad - WR,TPE: 71, http://nsfl.jcink.net/index.php?showtopic=8693,</t>
  </si>
  <si>
    <t>(S9) - Emilio Ramero - K/P,TPE: 116, http://nsfl.jcink.net/index.php?showtopic=8634,</t>
  </si>
  <si>
    <t>(S9) - Daquan Richardson - CB,TPE: 77, http://nsfl.jcink.net/index.php?showtopic=8626,</t>
  </si>
  <si>
    <t>(S9) - Deangelo Warren - WR,TPE: 50, http://nsfl.jcink.net/index.php?showtopic=8613,</t>
  </si>
  <si>
    <t>(S8) - Klaus DerFisch - K/P,TPE: 54, http://nsfl.jcink.net/index.php?showtopic=8344,</t>
  </si>
  <si>
    <t>(S8) - Vance Sachs - DE,TPE: 81, http://nsfl.jcink.net/index.php?showtopic=8297,</t>
  </si>
  <si>
    <t>(S8) - Seth Wallace - RB,TPE: 50, http://nsfl.jcink.net/index.php?showtopic=8256,</t>
  </si>
  <si>
    <t>(S8) - Harry Balzac - S,TPE: 50, http://nsfl.jcink.net/index.php?showtopic=8249,</t>
  </si>
  <si>
    <t>(S8) - D.J. Riddick - RB,TPE: 124, http://nsfl.jcink.net/index.php?showtopic=8231,</t>
  </si>
  <si>
    <t>(S8) - Justin Davis - K/P,TPE: 55, http://nsfl.jcink.net/index.php?showtopic=8151,</t>
  </si>
  <si>
    <t>(S13) - Benson Harris - DT,TPE: 398, http://nsfl.jcink.net/index.php?showtopic=11077,</t>
  </si>
  <si>
    <t>(S12) - Rylant Wright - WR,TPE: 167, http://nsfl.jcink.net/index.php?showtopic=10941,</t>
  </si>
  <si>
    <t>(S12) - Aksel Danielsson - RB,TPE: 412, http://nsfl.jcink.net/index.php?showtopic=10476,</t>
  </si>
  <si>
    <t>(S11) - Gordon Ramsey Jr. - CB,TPE: 213, http://nsfl.jcink.net/index.php?showtopic=10133,</t>
  </si>
  <si>
    <t>(S11) - Franklin Townsend - DT,TPE: 94, http://nsfl.jcink.net/index.php?showtopic=10048,</t>
  </si>
  <si>
    <t>(S11) - Thjalfi Halvorsen - WR,TPE: 212, http://nsfl.jcink.net/index.php?showtopic=9846,</t>
  </si>
  <si>
    <t>(S10) - Damien Arnold - S,TPE: 279, http://nsfl.jcink.net/index.php?showtopic=9461,</t>
  </si>
  <si>
    <t>(S9) - Jesse Marchand - LB,TPE: 250, http://nsfl.jcink.net/index.php?showtopic=8932,</t>
  </si>
  <si>
    <t>(S9) - Barnaby Earl - LB,TPE: 214, http://nsfl.jcink.net/index.php?showtopic=8797,</t>
  </si>
  <si>
    <t>(S8) - Beat Meoff - K,TPE: 170, http://nsfl.jcink.net/index.php?showtopic=7941,</t>
  </si>
  <si>
    <t>(S6) - Borkus Maximus III - QB,TPE: 901, http://nsfl.jcink.net/index.php?showtopic=6596,</t>
  </si>
  <si>
    <t>(S13) - Johnny Blaze - TE,TPE: 264, http://nsfl.jcink.net/index.php?showtopic=11463,</t>
  </si>
  <si>
    <t>(S12) - Tommy Salami - DE,TPE: 216, http://nsfl.jcink.net/index.php?showtopic=10982,</t>
  </si>
  <si>
    <t>(S11) - Jonathan Rice - CB,TPE: 421, http://nsfl.jcink.net/index.php?showtopic=10206,</t>
  </si>
  <si>
    <t>(S11) - Marc Spector - CB,TPE: 520, http://nsfl.jcink.net/index.php?showtopic=9997,</t>
  </si>
  <si>
    <t>(S10) - Adam Anderson - K/P,TPE: 140, http://nsfl.jcink.net/index.php?showtopic=9776,</t>
  </si>
  <si>
    <t>(S10) - Seer Zephyrous - RB,TPE: 382, http://nsfl.jcink.net/index.php?showtopic=9741,</t>
  </si>
  <si>
    <t>(S9) - Gus T.T. Showbiz - QB,TPE: 976, http://nsfl.jcink.net/index.php?showtopic=8771,</t>
  </si>
  <si>
    <t>(S9) - Young Spaghetti - DE,TPE: 110, http://nsfl.jcink.net/index.php?showtopic=8552,</t>
  </si>
  <si>
    <t>(S8) - Rickey Ramero - DE,TPE: 551, http://nsfl.jcink.net/index.php?showtopic=7834,</t>
  </si>
  <si>
    <t>(S7) - Mason Brown - S,TPE: 811, http://nsfl.jcink.net/index.php?showtopic=7823,</t>
  </si>
  <si>
    <t>(S6) - Jaylon Broxton - S,TPE: 894, http://nsfl.jcink.net/index.php?showtopic=6550,</t>
  </si>
  <si>
    <t>(S6) - Glenn McPoyal - TE,TPE: 336, http://nsfl.jcink.net/index.php?showtopic=6250,</t>
  </si>
  <si>
    <t>(S13) - Corwin Davenport - RB,TPE: 155, http://nsfl.jcink.net/index.php?showtopic=11533,</t>
  </si>
  <si>
    <t>(S13) - Chris Steele - CB,TPE: 142, http://nsfl.jcink.net/index.php?showtopic=11408,</t>
  </si>
  <si>
    <t>(S12) - Luke Smyles - DE,TPE: 414, http://nsfl.jcink.net/index.php?showtopic=10638,</t>
  </si>
  <si>
    <t>(S12) - Ikaika Kalilimoku - DE,TPE: 228, http://nsfl.jcink.net/index.php?showtopic=10529,</t>
  </si>
  <si>
    <t>(S11) - Johnson Cox III - CB,TPE: 258, http://nsfl.jcink.net/index.php?showtopic=10354,</t>
  </si>
  <si>
    <t>(S11) - Roger Batoff - WR,TPE: 386, http://nsfl.jcink.net/index.php?showtopic=10256,</t>
  </si>
  <si>
    <t>(S11) - Curtis Saul - DT,TPE: 453, http://nsfl.jcink.net/index.php?showtopic=10121,</t>
  </si>
  <si>
    <t>(S11) - Lennox Garnett - S,TPE: 800, http://nsfl.jcink.net/index.php?showtopic=10004,</t>
  </si>
  <si>
    <t>(S10) - Frank Fort - S,TPE: 96, http://nsfl.jcink.net/index.php?showtopic=9820,</t>
  </si>
  <si>
    <t>(S10) - Ryland Morley - DE,TPE: 90, http://nsfl.jcink.net/index.php?showtopic=9406,</t>
  </si>
  <si>
    <t>(S10) - Lucari Felix - CB,TPE: 468, http://nsfl.jcink.net/index.php?showtopic=9229,</t>
  </si>
  <si>
    <t>(S6) - Carter Bush - WR,TPE: 501, http://nsfl.jcink.net/index.php?showtopic=6687,</t>
  </si>
  <si>
    <t>(S13) - Spencer Castle - CB,TPE: 383, http://nsfl.jcink.net/index.php?showtopic=11274,</t>
  </si>
  <si>
    <t>(S12) - Ja'brill Tuck - DE,TPE: 273, http://nsfl.jcink.net/index.php?showtopic=11050,</t>
  </si>
  <si>
    <t>(S12) - Neo Donaldson - K/P,TPE: 257, http://nsfl.jcink.net/index.php?showtopic=11045,</t>
  </si>
  <si>
    <t>(S12) - Jorel Tuck - S,TPE: 484, http://nsfl.jcink.net/index.php?showtopic=11019,</t>
  </si>
  <si>
    <t>(S12) - Ronnie Williams - TE,TPE: 124, http://nsfl.jcink.net/index.php?showtopic=10732,</t>
  </si>
  <si>
    <t>(S11) - Jerrod Canton - RB,TPE: 576, http://nsfl.jcink.net/index.php?showtopic=10212,</t>
  </si>
  <si>
    <t>(S11) - Ty Justice - WR,TPE: 284, http://nsfl.jcink.net/index.php?showtopic=10134,</t>
  </si>
  <si>
    <t>(S11) - Danny Methane - DE,TPE: 216, http://nsfl.jcink.net/index.php?showtopic=10052,</t>
  </si>
  <si>
    <t>(S11) - Footballer Sackerman - DT,TPE: 451, http://nsfl.jcink.net/index.php?showtopic=9979,</t>
  </si>
  <si>
    <t>(S10) - Chris Orosz - RB,TPE: 461, http://nsfl.jcink.net/index.php?showtopic=9383,</t>
  </si>
  <si>
    <t>(S9) - Zapp Brannigan - TE,TPE: 581, http://nsfl.jcink.net/index.php?showtopic=8551,</t>
  </si>
  <si>
    <t>(S12) - Pecker Cox - DT,TPE: 126, http://nsfl.jcink.net/index.php?showtopic=11027,</t>
  </si>
  <si>
    <t>(S12) - Jeff Jefferson IV - S,TPE: 182, http://nsfl.jcink.net/index.php?showtopic=10738,</t>
  </si>
  <si>
    <t>(S11) - Thomas Carrasco - RB,TPE: 177, http://nsfl.jcink.net/index.php?showtopic=10402,</t>
  </si>
  <si>
    <t>(S11) - Will Foster - DT,TPE: 271, http://nsfl.jcink.net/index.php?showtopic=10136,</t>
  </si>
  <si>
    <t>(S11) - Bobson Dugnutt - CB,TPE: 345, http://nsfl.jcink.net/index.php?showtopic=10092,</t>
  </si>
  <si>
    <t>(S11) - Adrian Pitcher - TE,TPE: 176, http://nsfl.jcink.net/index.php?showtopic=9830,</t>
  </si>
  <si>
    <t>(S8) - Ramadan Steve - DT,TPE: 152, http://nsfl.jcink.net/index.php?showtopic=8030,</t>
  </si>
  <si>
    <t>(S8) - Brad Pennington - WR,TPE: 688, http://nsfl.jcink.net/index.php?showtopic=8034,</t>
  </si>
  <si>
    <t>(S6) - Forfeit - K/P,TPE: 197, http://nsfl.jcink.net/index.php?showtopic=6578,</t>
  </si>
  <si>
    <t>(S5) - Cameron Taylor - S,TPE: 620, http://nsfl.jcink.net/index.php?showtopic=5347,</t>
  </si>
  <si>
    <t>ID</t>
  </si>
  <si>
    <t>Drafted</t>
  </si>
  <si>
    <t>Team</t>
  </si>
  <si>
    <t>Name</t>
  </si>
  <si>
    <t>Position</t>
  </si>
  <si>
    <t>TPE</t>
  </si>
  <si>
    <t>Line</t>
  </si>
  <si>
    <t>(S8) - Balthazar Crindy - TE,TPE: 510, http://nsfl.jcink.net/index.php?showtopic=8524,</t>
  </si>
  <si>
    <t>(S9) - Kyle Corbett - K/P,TPE: 104, http://nsfl.jcink.net/index.php?showtopic=9009,</t>
  </si>
  <si>
    <t>(S9) - Ricardo Jones - WR,TPE: 79, http://nsfl.jcink.net/index.php?showtopic=8721,</t>
  </si>
  <si>
    <t>(S12) - Devon Baxter - WR,TPE: 178, http://nsfl.jcink.net/index.php?showtopic=10516,</t>
  </si>
  <si>
    <t>(S13) - Blake McCargue - OL,TPE: 143, http://nsfl.jcink.net/index.php?showtopic=11082,</t>
  </si>
  <si>
    <t>(S5) - Ryan Sierra - DT,TPE: 175, http://nsfl.jcink.net/index.php?showtopic=5326,</t>
  </si>
  <si>
    <t>(S13) - Ladarius Ansong - TE,TPE: 50, http://nsfl.jcink.net/index.php?showtopic=11418,</t>
  </si>
  <si>
    <t>(S10) - True Pierce - LB,TPE: 76, http://nsfl.jcink.net/index.php?showtopic=9797,</t>
  </si>
  <si>
    <t>Count</t>
  </si>
  <si>
    <t>(S12) - Trey Staley - S,TPE: 470, http://nsfl.jcink.net/index.php?showtopic=10671,</t>
  </si>
  <si>
    <t>(S12) - Freezer Riposte - DT,TPE: 626, http://nsfl.jcink.net/index.php?showtopic=10513,</t>
  </si>
  <si>
    <t>(S10) - Xandra Troyski - CB,TPE: 743, http://nsfl.jcink.net/index.php?showtopic=9472,</t>
  </si>
  <si>
    <t>(S10) - D'Pez Poopsie - DE,TPE: 1007, http://nsfl.jcink.net/index.php?showtopic=9381,</t>
  </si>
  <si>
    <t>(S10) - Kazimir Oles - WR,TPE: 1052, http://nsfl.jcink.net/index.php?showtopic=9239,</t>
  </si>
  <si>
    <t>(S10) - Joliet L. Christ - QB,TPE: 884, http://nsfl.jcink.net/index.php?showtopic=9189,</t>
  </si>
  <si>
    <t>(S9) - Kolby Deringer - LB,TPE: 1045, http://nsfl.jcink.net/index.php?showtopic=8851,</t>
  </si>
  <si>
    <t>(S9) - Xavier Flash - WR,TPE: 935, http://nsfl.jcink.net/index.php?showtopic=8717,</t>
  </si>
  <si>
    <t>(S8) - Thad Pennington - S,TPE: 742, http://nsfl.jcink.net/index.php?showtopic=7933,</t>
  </si>
  <si>
    <t>(S8) - Chad Pennington - LB,TPE: 1159, http://nsfl.jcink.net/index.php?showtopic=7930,</t>
  </si>
  <si>
    <t>(S12) - Charlie Trout - LB,TPE: 655, http://nsfl.jcink.net/index.php?showtopic=10629,</t>
  </si>
  <si>
    <t>(S12) - Errol Maddox - WR,TPE: 698, http://nsfl.jcink.net/index.php?showtopic=10480,</t>
  </si>
  <si>
    <t>(S11) - Jaylin Hobbs - DT,TPE: 280, http://nsfl.jcink.net/index.php?showtopic=10429,</t>
  </si>
  <si>
    <t>(S11) - Kwame Abayomi Mbanefo - DE,TPE: 711, http://nsfl.jcink.net/index.php?showtopic=9838,</t>
  </si>
  <si>
    <t>(S9) - Marquise Brown - RB,TPE: 981, http://nsfl.jcink.net/index.php?showtopic=8834,</t>
  </si>
  <si>
    <t>(S9) - Vinny Valentine - WR,TPE: 993, http://nsfl.jcink.net/index.php?showtopic=8751,</t>
  </si>
  <si>
    <t>(S8) - Ben Horne - LB,TPE: 995, http://nsfl.jcink.net/index.php?showtopic=8172,</t>
  </si>
  <si>
    <t>(S8) - Childish Gambino - QB,TPE: 1037, http://nsfl.jcink.net/index.php?showtopic=7976,</t>
  </si>
  <si>
    <t>(S7) - Verso L'Alto - TE,TPE: 1177, http://nsfl.jcink.net/index.php?showtopic=7710,</t>
  </si>
  <si>
    <t>(S6) - Austin Roenick - LB,TPE: 822, http://nsfl.jcink.net/index.php?showtopic=6510,</t>
  </si>
  <si>
    <t>(S13) - Caleb McCoy - S,TPE: 243, http://nsfl.jcink.net/index.php?showtopic=11072,</t>
  </si>
  <si>
    <t>(S12) - Axel Hornbacher - CB,TPE: 626, http://nsfl.jcink.net/index.php?showtopic=10708,</t>
  </si>
  <si>
    <t>(S12) - Beau Montgomery - CB,TPE: 439, http://nsfl.jcink.net/index.php?showtopic=10657,</t>
  </si>
  <si>
    <t>(S12) - Logan Lejune - LB,TPE: 507, http://nsfl.jcink.net/index.php?showtopic=10573,</t>
  </si>
  <si>
    <t>(S12) - James Bishop - WR,TPE: 694, http://nsfl.jcink.net/index.php?showtopic=10524,</t>
  </si>
  <si>
    <t>(S10) - Devo Cansino - RB,TPE: 325, http://nsfl.jcink.net/index.php?showtopic=9786,</t>
  </si>
  <si>
    <t>(S8) - Omar Wrong - DT,TPE: 146, http://nsfl.jcink.net/index.php?showtopic=8396,</t>
  </si>
  <si>
    <t>(S8) - Viggo Squanch - WR,TPE: 789, http://nsfl.jcink.net/index.php?showtopic=8061,</t>
  </si>
  <si>
    <t>(S6) - Micycle McCormick - QB,TPE: 943, http://nsfl.jcink.net/index.php?showtopic=6395,</t>
  </si>
  <si>
    <t>(S14) - Maxwell Beard - DT,TPE: 187, http://nsfl.jcink.net/index.php?showtopic=11658,</t>
  </si>
  <si>
    <t>(S12) - Fast Boija - RB,TPE: 248, http://nsfl.jcink.net/index.php?showtopic=10864,</t>
  </si>
  <si>
    <t>(S11) - Kulture Fulture - K/P,TPE: 604, http://nsfl.jcink.net/index.php?showtopic=10126,</t>
  </si>
  <si>
    <t>(S11) - K.J. Becker - LB,TPE: 629, http://nsfl.jcink.net/index.php?showtopic=10018,</t>
  </si>
  <si>
    <t>(S10) - Jordan von Matt - WR,TPE: 734, http://nsfl.jcink.net/index.php?showtopic=9512,</t>
  </si>
  <si>
    <t>(S10) - Adriana Falconi - QB,TPE: 924, http://nsfl.jcink.net/index.php?showtopic=9220,</t>
  </si>
  <si>
    <t>(S9) - Bucky Barnes - S,TPE: 1020, http://nsfl.jcink.net/index.php?showtopic=8553,</t>
  </si>
  <si>
    <t>(S14) - Sandip &amp;quot;Sandy&amp;quot; Bakshi - LB,TPE: 157, http://nsfl.jcink.net/index.php?showtopic=11946,</t>
  </si>
  <si>
    <t>(S13) - Knute Knurtsson - S,TPE: 195, http://nsfl.jcink.net/index.php?showtopic=11536,</t>
  </si>
  <si>
    <t>(S13) - Nate Swift - WR,TPE: 361, http://nsfl.jcink.net/index.php?showtopic=11451,</t>
  </si>
  <si>
    <t>(S13) - Johnny Snuggles - CB,TPE: 509, http://nsfl.jcink.net/index.php?showtopic=11170,</t>
  </si>
  <si>
    <t>(S12) - Tommy Helanen - WR,TPE: 459, http://nsfl.jcink.net/index.php?showtopic=11004,</t>
  </si>
  <si>
    <t>(S12) - Dick Wizardry - RB,TPE: 672, http://nsfl.jcink.net/index.php?showtopic=10648,</t>
  </si>
  <si>
    <t>(S11) - Josh Parker - WR,TPE: 573, http://nsfl.jcink.net/index.php?showtopic=10061,</t>
  </si>
  <si>
    <t>(S11) - Alex Selich - LB,TPE: 679, http://nsfl.jcink.net/index.php?showtopic=9833,</t>
  </si>
  <si>
    <t>(S7) - Zach Skinner - DE,TPE: 468, http://nsfl.jcink.net/index.php?showtopic=7874,</t>
  </si>
  <si>
    <t>(S7) - Ryan Applehort - QB,TPE: 1183, http://nsfl.jcink.net/index.php?showtopic=7424,</t>
  </si>
  <si>
    <t>(S12) - Raymond Vans - LB,TPE: 416, http://nsfl.jcink.net/index.php?showtopic=11030,</t>
  </si>
  <si>
    <t>(S12) - Hike Mughes - CB,TPE: 298, http://nsfl.jcink.net/index.php?showtopic=10917,</t>
  </si>
  <si>
    <t>(S11) - Slim Shady - RB,TPE: 460, http://nsfl.jcink.net/index.php?showtopic=10234,</t>
  </si>
  <si>
    <t>(S11) - Andrew Reese - QB,TPE: 778, http://nsfl.jcink.net/index.php?showtopic=9986,</t>
  </si>
  <si>
    <t>(S10) - Avery Woodham - DE,TPE: 187, http://nsfl.jcink.net/index.php?showtopic=9416,</t>
  </si>
  <si>
    <t>(S14) - Stan Francisco - TE,TPE: 208, http://nsfl.jcink.net/index.php?showtopic=11721,</t>
  </si>
  <si>
    <t>(S13) - Tyler Swift - RB,TPE: 469, http://nsfl.jcink.net/index.php?showtopic=11230,</t>
  </si>
  <si>
    <t>(S12) - Grayson Kuusela - DE,TPE: 442, http://nsfl.jcink.net/index.php?showtopic=10541,</t>
  </si>
  <si>
    <t>(S10) - Lo Rax - DE,TPE: 703, http://nsfl.jcink.net/index.php?showtopic=9453,</t>
  </si>
  <si>
    <t>(S8) - William H. Harrison - S,TPE: 895, http://nsfl.jcink.net/index.php?showtopic=7904,</t>
  </si>
  <si>
    <t>(S7) - Vladimir Fyodorovich - WR,TPE: 1178, http://nsfl.jcink.net/index.php?showtopic=7650,</t>
  </si>
  <si>
    <t>(S13) - David Ginsberg - LB,TPE: 304, http://nsfl.jcink.net/index.php?showtopic=11206,</t>
  </si>
  <si>
    <t>(S12) - Django Anoa'i - WR,TPE: 340, http://nsfl.jcink.net/index.php?showtopic=10643,</t>
  </si>
  <si>
    <t>(S12) - Thorian Skarsgard - DT,TPE: 562, http://nsfl.jcink.net/index.php?showtopic=10568,</t>
  </si>
  <si>
    <t>(S11) - Dan Schneider - S,TPE: 711, http://nsfl.jcink.net/index.php?showtopic=10056,</t>
  </si>
  <si>
    <t>(S11) - Tana Keïta - LB,TPE: 615, http://nsfl.jcink.net/index.php?showtopic=9991,</t>
  </si>
  <si>
    <t>(S11) - Sunnycursed - WR,TPE: 780, http://nsfl.jcink.net/index.php?showtopic=9850,</t>
  </si>
  <si>
    <t>(S10) - Danny Grithead - S,TPE: 994, http://nsfl.jcink.net/index.php?showtopic=9290,</t>
  </si>
  <si>
    <t>(S9) - Ricky Adams - RB,TPE: 702, http://nsfl.jcink.net/index.php?showtopic=8740,</t>
  </si>
  <si>
    <t>(S5) - Carlito Crush - WR,TPE: 776, http://nsfl.jcink.net/index.php?showtopic=5103,</t>
  </si>
  <si>
    <t>(S15) - Frasier Crane - DE,TPE: 106, http://nsfl.jcink.net/index.php?showtopic=12518,</t>
  </si>
  <si>
    <t>(S15) - Cedric Parker - WR,TPE: 66, http://nsfl.jcink.net/index.php?showtopic=12471,</t>
  </si>
  <si>
    <t>(S15) - Farley Hank - RB,TPE: 82, http://nsfl.jcink.net/index.php?showtopic=12348,</t>
  </si>
  <si>
    <t>(S15) - Cameron Olsen - TE,TPE: 144, http://nsfl.jcink.net/index.php?showtopic=12328,</t>
  </si>
  <si>
    <t>(S15) - Terry Taffy - RB,TPE: 145, http://nsfl.jcink.net/index.php?showtopic=12232,</t>
  </si>
  <si>
    <t>(S15) - Ryan Leaf Jr - QB,TPE: 69, http://nsfl.jcink.net/index.php?showtopic=12221,</t>
  </si>
  <si>
    <t>(S15) - Andrew Solomon - CB,TPE: 52, http://nsfl.jcink.net/index.php?showtopic=12218,</t>
  </si>
  <si>
    <t>(S14) - Rose Jenkins - QB,TPE: 294, http://nsfl.jcink.net/index.php?showtopic=11678,</t>
  </si>
  <si>
    <t>(S14) - Alfredo &amp;quot;Thighmaster&amp;quot; Crisco - K/P,TPE: 135, http://nsfl.jcink.net/index.php?showtopic=11580,</t>
  </si>
  <si>
    <t>(S15) - RKANSAW N/A - RB,TPE: 50, http://nsfl.jcink.net/index.php?showtopic=12778,</t>
  </si>
  <si>
    <t>(S15) - AJ Lattimer - DT,TPE: 111, http://nsfl.jcink.net/index.php?showtopic=12613,</t>
  </si>
  <si>
    <t>(S15) - Tyler Janes - RB,TPE: 67, http://nsfl.jcink.net/index.php?showtopic=12329,</t>
  </si>
  <si>
    <t>(S15) - Avery Thomas - S,TPE: 59, http://nsfl.jcink.net/index.php?showtopic=12378,</t>
  </si>
  <si>
    <t>(S15) - Lightsout Lewis - LB,TPE: 137, http://nsfl.jcink.net/index.php?showtopic=12326,</t>
  </si>
  <si>
    <t>(S15) - Dashwan Jackson - WR,TPE: 57, http://nsfl.jcink.net/index.php?showtopic=12322,</t>
  </si>
  <si>
    <t>(S15) - Lanzer Grievous - LB,TPE: 128, http://nsfl.jcink.net/index.php?showtopic=12292,</t>
  </si>
  <si>
    <t>(S15) - CrayCray Lewis - LB,TPE: 60, http://nsfl.jcink.net/index.php?showtopic=12288,</t>
  </si>
  <si>
    <t>(S15) - Xerxes Ridley - CB,TPE: 145, http://nsfl.jcink.net/index.php?showtopic=12268,</t>
  </si>
  <si>
    <t>(S15) - Alex Dasistwirklichseinnachname - K,TPE: 89, http://nsfl.jcink.net/index.php?showtopic=12178,</t>
  </si>
  <si>
    <t>(S15) - Kermit Stronglegs - RB,TPE: 92, http://nsfl.jcink.net/index.php?showtopic=12142,</t>
  </si>
  <si>
    <t>(S15) - Franklin Armstrong - QB,TPE: 140, http://nsfl.jcink.net/index.php?showtopic=12031,</t>
  </si>
  <si>
    <t>(S15) - Richard D'Attoria V - S,TPE: 147, http://nsfl.jcink.net/index.php?showtopic=12024,</t>
  </si>
  <si>
    <t>(S15) - Emondov Emoji - CB,TPE: 176, http://nsfl.jcink.net/index.php?showtopic=11992,</t>
  </si>
  <si>
    <t>(S14) - Gekyume Stokeley - LB,TPE: 200, http://nsfl.jcink.net/index.php?showtopic=11926,</t>
  </si>
  <si>
    <t>(S14) - Leighton Lee - LB,TPE: 259, http://nsfl.jcink.net/index.php?showtopic=11684,</t>
  </si>
  <si>
    <t>(S13) - Bona'beri Jones - WR,TPE: 204, http://nsfl.jcink.net/index.php?showtopic=11532,</t>
  </si>
  <si>
    <t>(S15) - David Le Kre - CB,TPE: 55, http://nsfl.jcink.net/index.php?showtopic=12606,</t>
  </si>
  <si>
    <t>(S15) - Nero Alexander - DE,TPE: 147, http://nsfl.jcink.net/index.php?showtopic=12364,</t>
  </si>
  <si>
    <t>(S15) - Walt Green - S,TPE: 113, http://nsfl.jcink.net/index.php?showtopic=12283,</t>
  </si>
  <si>
    <t>(S15) - Max Vaz - RB,TPE: 67, http://nsfl.jcink.net/index.php?showtopic=12258,</t>
  </si>
  <si>
    <t>(S15) - Mister Big Chest - WR,TPE: 82, http://nsfl.jcink.net/index.php?showtopic=12252,</t>
  </si>
  <si>
    <t>(S15) - Robert Kleven - WR,TPE: 57, http://nsfl.jcink.net/index.php?showtopic=12228,</t>
  </si>
  <si>
    <t>(S15) - Morgan Marshall - RB,TPE: 157, http://nsfl.jcink.net/index.php?showtopic=12191,</t>
  </si>
  <si>
    <t>(S15) - Timmy Hoss - TE,TPE: 144, http://nsfl.jcink.net/index.php?showtopic=12186,</t>
  </si>
  <si>
    <t>(S15) - Bruce Waynner - DT,TPE: 59, http://nsfl.jcink.net/index.php?showtopic=12164,</t>
  </si>
  <si>
    <t>(S15) - Quenton Bode - LB,TPE: 127, http://nsfl.jcink.net/index.php?showtopic=12109,</t>
  </si>
  <si>
    <t>(S15) - Mo Berry - LB,TPE: 113, http://nsfl.jcink.net/index.php?showtopic=12113,</t>
  </si>
  <si>
    <t>(S14) - Cooter Bigsby - QB,TPE: 338, http://nsfl.jcink.net/index.php?showtopic=11587,</t>
  </si>
  <si>
    <t>(S13) - Vander Jones - CB,TPE: 226, http://nsfl.jcink.net/index.php?showtopic=11499,</t>
  </si>
  <si>
    <t>(S15) - Michael Beckham - LB,TPE: 50, http://nsfl.jcink.net/index.php?showtopic=12839,</t>
  </si>
  <si>
    <t>(S15) - Rod Tidwell - WR,TPE: 130, http://nsfl.jcink.net/index.php?showtopic=12700,</t>
  </si>
  <si>
    <t>(S15) - TJ Hendrix - QB,TPE: 65, http://nsfl.jcink.net/index.php?showtopic=12535,</t>
  </si>
  <si>
    <t>(S15) - Edmond Beaver-Dantes - OL,TPE: 141, http://nsfl.jcink.net/index.php?showtopic=12532,</t>
  </si>
  <si>
    <t>(S15) - Groovy Johnson - CB,TPE: 59, http://nsfl.jcink.net/index.php?showtopic=12367,</t>
  </si>
  <si>
    <t>(S15) - Jammerson Irving - TE,TPE: 108, http://nsfl.jcink.net/index.php?showtopic=12384,</t>
  </si>
  <si>
    <t>(S15) - Brave Ulysses - OL,TPE: 134, http://nsfl.jcink.net/index.php?showtopic=12413,</t>
  </si>
  <si>
    <t>(S15) - Carlomagno Rey - WR,TPE: 62, http://nsfl.jcink.net/index.php?showtopic=12371,</t>
  </si>
  <si>
    <t>(S15) - Jacob Rowan - OL,TPE: 72, http://nsfl.jcink.net/index.php?showtopic=12170,</t>
  </si>
  <si>
    <t>(S15) - Forrest Gump - RB,TPE: 114, http://nsfl.jcink.net/index.php?showtopic=12260,</t>
  </si>
  <si>
    <t>(S15) - Momodou Jallow - S,TPE: 76, http://nsfl.jcink.net/index.php?showtopic=12255,</t>
  </si>
  <si>
    <t>(S15) - Bill Inohi - DT,TPE: 59, http://nsfl.jcink.net/index.php?showtopic=12196,</t>
  </si>
  <si>
    <t>(S15) - Martavius Mack - S,TPE: 74, http://nsfl.jcink.net/index.php?showtopic=12175,</t>
  </si>
  <si>
    <t>(S15) - Troy Humuhumunukunukuāpuaʻa - S,TPE: 111, http://nsfl.jcink.net/index.php?showtopic=12165,</t>
  </si>
  <si>
    <t>(S15) - Lo Mein - DE,TPE: 69, http://nsfl.jcink.net/index.php?showtopic=12061,</t>
  </si>
  <si>
    <t>(S15) - Johnny Slothface - LB,TPE: 175, http://nsfl.jcink.net/index.php?showtopic=12011,</t>
  </si>
  <si>
    <t>(S15) - JoJo Burr-Kirven - LB,TPE: 72, http://nsfl.jcink.net/index.php?showtopic=11980,</t>
  </si>
  <si>
    <t>(S14) - Corvo Havran - QB,TPE: 328, http://nsfl.jcink.net/index.php?showtopic=11597,</t>
  </si>
  <si>
    <t>(S15) - Deon Taylor - CB,TPE: 72, http://nsfl.jcink.net/index.php?showtopic=12676,</t>
  </si>
  <si>
    <t>(S15) - Michael Rood - TE,TPE: 97, http://nsfl.jcink.net/index.php?showtopic=12395,</t>
  </si>
  <si>
    <t>(S15) - Apollo Lange - QB,TPE: 94, http://nsfl.jcink.net/index.php?showtopic=12396,</t>
  </si>
  <si>
    <t>(S15) - Rock Hardshaft - LB,TPE: 108, http://nsfl.jcink.net/index.php?showtopic=12318,</t>
  </si>
  <si>
    <t>(S15) - Quentin Sinclair - S,TPE: 89, http://nsfl.jcink.net/index.php?showtopic=12282,</t>
  </si>
  <si>
    <t>(S15) - Ludicolo Bigby - RB,TPE: 89, http://nsfl.jcink.net/index.php?showtopic=12281,</t>
  </si>
  <si>
    <t>(S15) - Ben Bortboy - RB,TPE: 121, http://nsfl.jcink.net/index.php?showtopic=12249,</t>
  </si>
  <si>
    <t>(S15) - Dan Wright - TE,TPE: 94, http://nsfl.jcink.net/index.php?showtopic=12224,</t>
  </si>
  <si>
    <t>(S15) - Fatih Terim - S,TPE: 122, http://nsfl.jcink.net/index.php?showtopic=12194,</t>
  </si>
  <si>
    <t>(S15) - Nacho Varga - WR,TPE: 121, http://nsfl.jcink.net/index.php?showtopic=12173,</t>
  </si>
  <si>
    <t>(S15) - Guy Nikko - LB,TPE: 133, http://nsfl.jcink.net/index.php?showtopic=12163,</t>
  </si>
  <si>
    <t>(S15) - Tony Gabagool - LB,TPE: 126, http://nsfl.jcink.net/index.php?showtopic=12102,</t>
  </si>
  <si>
    <t>(S15) - Lamont McKinnie - S,TPE: 121, http://nsfl.jcink.net/index.php?showtopic=12095,</t>
  </si>
  <si>
    <t>(S15) - Rahm Kota - OL,TPE: 96, http://nsfl.jcink.net/index.php?showtopic=12083,</t>
  </si>
  <si>
    <t>(S15) - Chase Jensen - TE,TPE: 175, http://nsfl.jcink.net/index.php?showtopic=12017,</t>
  </si>
  <si>
    <t>(S15) - Apollo Reed - RB,TPE: 100, http://nsfl.jcink.net/index.php?showtopic=12691,</t>
  </si>
  <si>
    <t>(S15) - Eric Lorentz - LB,TPE: 55, http://nsfl.jcink.net/index.php?showtopic=12604,</t>
  </si>
  <si>
    <t>(S15) - Cameron Clutch - K,TPE: 82, http://nsfl.jcink.net/index.php?showtopic=12561,</t>
  </si>
  <si>
    <t>(S15) - Jay Longshaw - QB,TPE: 121, http://nsfl.jcink.net/index.php?showtopic=12482,</t>
  </si>
  <si>
    <t>(S15) - Charles Mudley - WR,TPE: 83, http://nsfl.jcink.net/index.php?showtopic=12272,</t>
  </si>
  <si>
    <t>(S15) - Tobias Chase - CB,TPE: 99, http://nsfl.jcink.net/index.php?showtopic=12332,</t>
  </si>
  <si>
    <t>(S15) - Ahri Espeeyeeseetee - WR,TPE: 151, http://nsfl.jcink.net/index.php?showtopic=12296,</t>
  </si>
  <si>
    <t>(S15) - Lucas Knight - CB,TPE: 122, http://nsfl.jcink.net/index.php?showtopic=12290,</t>
  </si>
  <si>
    <t>(S15) - Dorfus Jimbo - RB,TPE: 118, http://nsfl.jcink.net/index.php?showtopic=12240,</t>
  </si>
  <si>
    <t>(S15) - Jack Rambo - S,TPE: 111, http://nsfl.jcink.net/index.php?showtopic=12143,</t>
  </si>
  <si>
    <t>(S15) - Logan Uchiha - S,TPE: 87, http://nsfl.jcink.net/index.php?showtopic=12188,</t>
  </si>
  <si>
    <t>(S15) - Giannis Kroustis - S,TPE: 117, http://nsfl.jcink.net/index.php?showtopic=12138,</t>
  </si>
  <si>
    <t>(S15) - Nick Snider - DT,TPE: 87, http://nsfl.jcink.net/index.php?showtopic=12107,</t>
  </si>
  <si>
    <t>(S15) - Ricardo Morris - DT,TPE: 149, http://nsfl.jcink.net/index.php?showtopic=12063,</t>
  </si>
  <si>
    <t>(S15) - Brock Landers - WR,TPE: 153, http://nsfl.jcink.net/index.php?showtopic=12087,</t>
  </si>
  <si>
    <t>(S15) - Marquees Acho - LB,TPE: 105, http://nsfl.jcink.net/index.php?showtopic=12086,</t>
  </si>
  <si>
    <t>(S15) - Allen Josh - LB,TPE: 158, http://nsfl.jcink.net/index.php?showtopic=11967,</t>
  </si>
  <si>
    <t>San Jose Sabercats</t>
  </si>
  <si>
    <t>Baltimore Hawks</t>
  </si>
  <si>
    <t>Colorado Yeti</t>
  </si>
  <si>
    <t>Philadelphia Liberty</t>
  </si>
  <si>
    <t>Yellowknife Wraiths</t>
  </si>
  <si>
    <t>Arizona Outlaws</t>
  </si>
  <si>
    <t>New Orleans Second Line</t>
  </si>
  <si>
    <t>Orange County Otters</t>
  </si>
  <si>
    <t>Free Agent</t>
  </si>
  <si>
    <t>Kansas City Coyotes</t>
  </si>
  <si>
    <t>Portland Pythons</t>
  </si>
  <si>
    <t>San Antonio Marshals</t>
  </si>
  <si>
    <t>Tijuana Luchadores</t>
  </si>
  <si>
    <t>Palm Beach Solar Bears</t>
  </si>
  <si>
    <t>Norfolk Seawolves</t>
  </si>
  <si>
    <t>Draft Prospect</t>
  </si>
  <si>
    <t>QB</t>
  </si>
  <si>
    <t>RB</t>
  </si>
  <si>
    <t>FB</t>
  </si>
  <si>
    <t>WR</t>
  </si>
  <si>
    <t>TE</t>
  </si>
  <si>
    <t>OL</t>
  </si>
  <si>
    <t>DE</t>
  </si>
  <si>
    <t>DT</t>
  </si>
  <si>
    <t>DL</t>
  </si>
  <si>
    <t>LB</t>
  </si>
  <si>
    <t>CB</t>
  </si>
  <si>
    <t>S</t>
  </si>
  <si>
    <t>K</t>
  </si>
  <si>
    <t>P</t>
  </si>
  <si>
    <t>K/P</t>
  </si>
  <si>
    <t>K-P</t>
  </si>
  <si>
    <t>Kicker</t>
  </si>
  <si>
    <t>Safety</t>
  </si>
  <si>
    <t>Cornerback</t>
  </si>
  <si>
    <t>Linebacker</t>
  </si>
  <si>
    <t>Defensive Line</t>
  </si>
  <si>
    <t>Offensive Line</t>
  </si>
  <si>
    <t>Tight End</t>
  </si>
  <si>
    <t>Wide Receiver</t>
  </si>
  <si>
    <t>Runningback</t>
  </si>
  <si>
    <t>Quarterback</t>
  </si>
  <si>
    <t>(S11) - Kick Puncher - K/P,TPE: 76, http://nsfl.jcink.net/index.php?showtopic=9857,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</si>
</sst>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watson/AppData/Roaming/Microsoft/AddIns/ProfessahKToolba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ed"/>
      <sheetName val="combine"/>
      <sheetName val="testing"/>
      <sheetName val="DateFormats"/>
      <sheetName val="Options"/>
      <sheetName val="Index"/>
    </sheetNames>
    <definedNames>
      <definedName name="Numerize"/>
      <definedName name="RegExpSubstitut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64"/>
  <sheetViews>
    <sheetView tabSelected="1" topLeftCell="A326" workbookViewId="0">
      <selection activeCell="E336" sqref="E336"/>
    </sheetView>
  </sheetViews>
  <sheetFormatPr defaultColWidth="0" defaultRowHeight="15" x14ac:dyDescent="0.25"/>
  <cols>
    <col min="1" max="2" width="9.140625" customWidth="1"/>
    <col min="3" max="3" width="41.5703125" bestFit="1" customWidth="1"/>
    <col min="4" max="4" width="14.28515625" bestFit="1" customWidth="1"/>
    <col min="5" max="5" width="9.140625" customWidth="1"/>
    <col min="6" max="6" width="17.5703125" bestFit="1" customWidth="1"/>
    <col min="7" max="7" width="9.140625" customWidth="1"/>
    <col min="8" max="8" width="57.140625" customWidth="1"/>
    <col min="9" max="10" width="0" hidden="1" customWidth="1"/>
    <col min="13" max="16384" width="9.140625" hidden="1"/>
  </cols>
  <sheetData>
    <row r="1" spans="1:8" x14ac:dyDescent="0.25">
      <c r="A1" s="1" t="s">
        <v>214</v>
      </c>
      <c r="B1" s="1" t="s">
        <v>199</v>
      </c>
      <c r="C1" s="1" t="s">
        <v>202</v>
      </c>
      <c r="D1" s="1" t="s">
        <v>203</v>
      </c>
      <c r="E1" s="1" t="s">
        <v>200</v>
      </c>
      <c r="F1" s="1" t="s">
        <v>201</v>
      </c>
      <c r="G1" s="1" t="s">
        <v>204</v>
      </c>
      <c r="H1" s="1" t="s">
        <v>205</v>
      </c>
    </row>
    <row r="2" spans="1:8" x14ac:dyDescent="0.25">
      <c r="A2">
        <f t="shared" ref="A2:A65" si="0">COUNTIF($B$2:$B$375,B2)</f>
        <v>1</v>
      </c>
      <c r="B2">
        <f>[1]!Numerize(MID(H2,FIND("=",H2),10))+0</f>
        <v>11274</v>
      </c>
      <c r="C2" t="str">
        <f>[1]!RegExpSubstitute(MID(H2,FIND("- ",H2)+2,FIND("- ",H2,FIND("- ",H2)+1)-FIND("- ",H2)-2),"\&amp;quot\;.*\&amp;quot\;\W","")</f>
        <v xml:space="preserve">Spencer Castle </v>
      </c>
      <c r="D2" t="str">
        <f>VLOOKUP(SUBSTITUTE(TRIM(MID(H2,FIND(",TPE:",H2)-3,3)),"- ",""),Index!D:E,2,FALSE)</f>
        <v>Cornerback</v>
      </c>
      <c r="E2" t="str">
        <f>MID(H2,FIND("(",H2)+1,FIND(")",H2)-FIND("(",H2)-1)</f>
        <v>S13</v>
      </c>
      <c r="F2" t="s">
        <v>370</v>
      </c>
      <c r="G2">
        <f>MID(H2,FIND("TPE: ",H2)+5,FIND(", ",H2,FIND("TPE: ",H2))-FIND("TPE: ",H2)-5)+0</f>
        <v>383</v>
      </c>
      <c r="H2" t="s">
        <v>178</v>
      </c>
    </row>
    <row r="3" spans="1:8" x14ac:dyDescent="0.25">
      <c r="A3">
        <f t="shared" si="0"/>
        <v>1</v>
      </c>
      <c r="B3">
        <f t="shared" ref="B3:B66" si="1">[1]!Numerize(MID(H3,FIND("=",H3),10))+0</f>
        <v>11050</v>
      </c>
      <c r="C3" t="str">
        <f>[1]!RegExpSubstitute(MID(H3,FIND("- ",H3)+2,FIND("- ",H3,FIND("- ",H3)+1)-FIND("- ",H3)-2),"\&amp;quot\;.*\&amp;quot\;\W","")</f>
        <v xml:space="preserve">Ja'brill Tuck </v>
      </c>
      <c r="D3" t="str">
        <f>VLOOKUP(SUBSTITUTE(TRIM(MID(H3,FIND(",TPE:",H3)-3,3)),"- ",""),Index!D:E,2,FALSE)</f>
        <v>Defensive Line</v>
      </c>
      <c r="E3" t="str">
        <f>MID(H3,FIND("(",H3)+1,FIND(")",H3)-FIND("(",H3)-1)</f>
        <v>S12</v>
      </c>
      <c r="F3" t="s">
        <v>370</v>
      </c>
      <c r="G3">
        <f t="shared" ref="G3:G66" si="2">MID(H3,FIND("TPE: ",H3)+5,FIND(", ",H3,FIND("TPE: ",H3))-FIND("TPE: ",H3)-5)+0</f>
        <v>273</v>
      </c>
      <c r="H3" t="s">
        <v>179</v>
      </c>
    </row>
    <row r="4" spans="1:8" x14ac:dyDescent="0.25">
      <c r="A4">
        <f t="shared" si="0"/>
        <v>1</v>
      </c>
      <c r="B4">
        <f t="shared" si="1"/>
        <v>11045</v>
      </c>
      <c r="C4" t="str">
        <f>[1]!RegExpSubstitute(MID(H4,FIND("- ",H4)+2,FIND("- ",H4,FIND("- ",H4)+1)-FIND("- ",H4)-2),"\&amp;quot\;.*\&amp;quot\;\W","")</f>
        <v xml:space="preserve">Neo Donaldson </v>
      </c>
      <c r="D4" t="str">
        <f>VLOOKUP(SUBSTITUTE(TRIM(MID(H4,FIND(",TPE:",H4)-3,3)),"- ",""),Index!D:E,2,FALSE)</f>
        <v>Kicker</v>
      </c>
      <c r="E4" t="str">
        <f>MID(H4,FIND("(",H4)+1,FIND(")",H4)-FIND("(",H4)-1)</f>
        <v>S12</v>
      </c>
      <c r="F4" t="s">
        <v>370</v>
      </c>
      <c r="G4">
        <f t="shared" si="2"/>
        <v>257</v>
      </c>
      <c r="H4" t="s">
        <v>180</v>
      </c>
    </row>
    <row r="5" spans="1:8" x14ac:dyDescent="0.25">
      <c r="A5">
        <f t="shared" si="0"/>
        <v>1</v>
      </c>
      <c r="B5">
        <f t="shared" si="1"/>
        <v>11019</v>
      </c>
      <c r="C5" t="str">
        <f>[1]!RegExpSubstitute(MID(H5,FIND("- ",H5)+2,FIND("- ",H5,FIND("- ",H5)+1)-FIND("- ",H5)-2),"\&amp;quot\;.*\&amp;quot\;\W","")</f>
        <v xml:space="preserve">Jorel Tuck </v>
      </c>
      <c r="D5" t="str">
        <f>VLOOKUP(SUBSTITUTE(TRIM(MID(H5,FIND(",TPE:",H5)-3,3)),"- ",""),Index!D:E,2,FALSE)</f>
        <v>Safety</v>
      </c>
      <c r="E5" t="str">
        <f>MID(H5,FIND("(",H5)+1,FIND(")",H5)-FIND("(",H5)-1)</f>
        <v>S12</v>
      </c>
      <c r="F5" t="s">
        <v>370</v>
      </c>
      <c r="G5">
        <f t="shared" si="2"/>
        <v>484</v>
      </c>
      <c r="H5" t="s">
        <v>181</v>
      </c>
    </row>
    <row r="6" spans="1:8" x14ac:dyDescent="0.25">
      <c r="A6">
        <f t="shared" si="0"/>
        <v>1</v>
      </c>
      <c r="B6">
        <f t="shared" si="1"/>
        <v>10732</v>
      </c>
      <c r="C6" t="str">
        <f>[1]!RegExpSubstitute(MID(H6,FIND("- ",H6)+2,FIND("- ",H6,FIND("- ",H6)+1)-FIND("- ",H6)-2),"\&amp;quot\;.*\&amp;quot\;\W","")</f>
        <v xml:space="preserve">Ronnie Williams </v>
      </c>
      <c r="D6" t="str">
        <f>VLOOKUP(SUBSTITUTE(TRIM(MID(H6,FIND(",TPE:",H6)-3,3)),"- ",""),Index!D:E,2,FALSE)</f>
        <v>Tight End</v>
      </c>
      <c r="E6" t="str">
        <f>MID(H6,FIND("(",H6)+1,FIND(")",H6)-FIND("(",H6)-1)</f>
        <v>S12</v>
      </c>
      <c r="F6" t="s">
        <v>370</v>
      </c>
      <c r="G6">
        <f t="shared" si="2"/>
        <v>124</v>
      </c>
      <c r="H6" t="s">
        <v>182</v>
      </c>
    </row>
    <row r="7" spans="1:8" x14ac:dyDescent="0.25">
      <c r="A7">
        <f t="shared" si="0"/>
        <v>1</v>
      </c>
      <c r="B7">
        <f t="shared" si="1"/>
        <v>10671</v>
      </c>
      <c r="C7" t="str">
        <f>[1]!RegExpSubstitute(MID(H7,FIND("- ",H7)+2,FIND("- ",H7,FIND("- ",H7)+1)-FIND("- ",H7)-2),"\&amp;quot\;.*\&amp;quot\;\W","")</f>
        <v xml:space="preserve">Trey Staley </v>
      </c>
      <c r="D7" t="str">
        <f>VLOOKUP(SUBSTITUTE(TRIM(MID(H7,FIND(",TPE:",H7)-3,3)),"- ",""),Index!D:E,2,FALSE)</f>
        <v>Safety</v>
      </c>
      <c r="E7" t="str">
        <f>MID(H7,FIND("(",H7)+1,FIND(")",H7)-FIND("(",H7)-1)</f>
        <v>S12</v>
      </c>
      <c r="F7" t="s">
        <v>370</v>
      </c>
      <c r="G7">
        <f t="shared" si="2"/>
        <v>470</v>
      </c>
      <c r="H7" t="s">
        <v>215</v>
      </c>
    </row>
    <row r="8" spans="1:8" x14ac:dyDescent="0.25">
      <c r="A8">
        <f t="shared" si="0"/>
        <v>1</v>
      </c>
      <c r="B8">
        <f t="shared" si="1"/>
        <v>10513</v>
      </c>
      <c r="C8" t="str">
        <f>[1]!RegExpSubstitute(MID(H8,FIND("- ",H8)+2,FIND("- ",H8,FIND("- ",H8)+1)-FIND("- ",H8)-2),"\&amp;quot\;.*\&amp;quot\;\W","")</f>
        <v xml:space="preserve">Freezer Riposte </v>
      </c>
      <c r="D8" t="str">
        <f>VLOOKUP(SUBSTITUTE(TRIM(MID(H8,FIND(",TPE:",H8)-3,3)),"- ",""),Index!D:E,2,FALSE)</f>
        <v>Defensive Line</v>
      </c>
      <c r="E8" t="str">
        <f>MID(H8,FIND("(",H8)+1,FIND(")",H8)-FIND("(",H8)-1)</f>
        <v>S12</v>
      </c>
      <c r="F8" t="s">
        <v>370</v>
      </c>
      <c r="G8">
        <f t="shared" si="2"/>
        <v>626</v>
      </c>
      <c r="H8" t="s">
        <v>216</v>
      </c>
    </row>
    <row r="9" spans="1:8" x14ac:dyDescent="0.25">
      <c r="A9">
        <f t="shared" si="0"/>
        <v>1</v>
      </c>
      <c r="B9">
        <f t="shared" si="1"/>
        <v>10212</v>
      </c>
      <c r="C9" t="str">
        <f>[1]!RegExpSubstitute(MID(H9,FIND("- ",H9)+2,FIND("- ",H9,FIND("- ",H9)+1)-FIND("- ",H9)-2),"\&amp;quot\;.*\&amp;quot\;\W","")</f>
        <v xml:space="preserve">Jerrod Canton </v>
      </c>
      <c r="D9" t="str">
        <f>VLOOKUP(SUBSTITUTE(TRIM(MID(H9,FIND(",TPE:",H9)-3,3)),"- ",""),Index!D:E,2,FALSE)</f>
        <v>Runningback</v>
      </c>
      <c r="E9" t="str">
        <f>MID(H9,FIND("(",H9)+1,FIND(")",H9)-FIND("(",H9)-1)</f>
        <v>S11</v>
      </c>
      <c r="F9" t="s">
        <v>370</v>
      </c>
      <c r="G9">
        <f t="shared" si="2"/>
        <v>576</v>
      </c>
      <c r="H9" t="s">
        <v>183</v>
      </c>
    </row>
    <row r="10" spans="1:8" x14ac:dyDescent="0.25">
      <c r="A10">
        <f t="shared" si="0"/>
        <v>1</v>
      </c>
      <c r="B10">
        <f t="shared" si="1"/>
        <v>10134</v>
      </c>
      <c r="C10" t="str">
        <f>[1]!RegExpSubstitute(MID(H10,FIND("- ",H10)+2,FIND("- ",H10,FIND("- ",H10)+1)-FIND("- ",H10)-2),"\&amp;quot\;.*\&amp;quot\;\W","")</f>
        <v xml:space="preserve">Ty Justice </v>
      </c>
      <c r="D10" t="str">
        <f>VLOOKUP(SUBSTITUTE(TRIM(MID(H10,FIND(",TPE:",H10)-3,3)),"- ",""),Index!D:E,2,FALSE)</f>
        <v>Wide Receiver</v>
      </c>
      <c r="E10" t="str">
        <f>MID(H10,FIND("(",H10)+1,FIND(")",H10)-FIND("(",H10)-1)</f>
        <v>S11</v>
      </c>
      <c r="F10" t="s">
        <v>370</v>
      </c>
      <c r="G10">
        <f t="shared" si="2"/>
        <v>284</v>
      </c>
      <c r="H10" t="s">
        <v>184</v>
      </c>
    </row>
    <row r="11" spans="1:8" x14ac:dyDescent="0.25">
      <c r="A11">
        <f t="shared" si="0"/>
        <v>1</v>
      </c>
      <c r="B11">
        <f t="shared" si="1"/>
        <v>10052</v>
      </c>
      <c r="C11" t="str">
        <f>[1]!RegExpSubstitute(MID(H11,FIND("- ",H11)+2,FIND("- ",H11,FIND("- ",H11)+1)-FIND("- ",H11)-2),"\&amp;quot\;.*\&amp;quot\;\W","")</f>
        <v xml:space="preserve">Danny Methane </v>
      </c>
      <c r="D11" t="str">
        <f>VLOOKUP(SUBSTITUTE(TRIM(MID(H11,FIND(",TPE:",H11)-3,3)),"- ",""),Index!D:E,2,FALSE)</f>
        <v>Defensive Line</v>
      </c>
      <c r="E11" t="str">
        <f>MID(H11,FIND("(",H11)+1,FIND(")",H11)-FIND("(",H11)-1)</f>
        <v>S11</v>
      </c>
      <c r="F11" t="s">
        <v>370</v>
      </c>
      <c r="G11">
        <f t="shared" si="2"/>
        <v>216</v>
      </c>
      <c r="H11" t="s">
        <v>185</v>
      </c>
    </row>
    <row r="12" spans="1:8" x14ac:dyDescent="0.25">
      <c r="A12">
        <f t="shared" si="0"/>
        <v>1</v>
      </c>
      <c r="B12">
        <f t="shared" si="1"/>
        <v>9979</v>
      </c>
      <c r="C12" t="str">
        <f>[1]!RegExpSubstitute(MID(H12,FIND("- ",H12)+2,FIND("- ",H12,FIND("- ",H12)+1)-FIND("- ",H12)-2),"\&amp;quot\;.*\&amp;quot\;\W","")</f>
        <v xml:space="preserve">Footballer Sackerman </v>
      </c>
      <c r="D12" t="str">
        <f>VLOOKUP(SUBSTITUTE(TRIM(MID(H12,FIND(",TPE:",H12)-3,3)),"- ",""),Index!D:E,2,FALSE)</f>
        <v>Defensive Line</v>
      </c>
      <c r="E12" t="str">
        <f>MID(H12,FIND("(",H12)+1,FIND(")",H12)-FIND("(",H12)-1)</f>
        <v>S11</v>
      </c>
      <c r="F12" t="s">
        <v>370</v>
      </c>
      <c r="G12">
        <f t="shared" si="2"/>
        <v>451</v>
      </c>
      <c r="H12" t="s">
        <v>186</v>
      </c>
    </row>
    <row r="13" spans="1:8" x14ac:dyDescent="0.25">
      <c r="A13">
        <f t="shared" si="0"/>
        <v>1</v>
      </c>
      <c r="B13">
        <f t="shared" si="1"/>
        <v>9472</v>
      </c>
      <c r="C13" t="str">
        <f>[1]!RegExpSubstitute(MID(H13,FIND("- ",H13)+2,FIND("- ",H13,FIND("- ",H13)+1)-FIND("- ",H13)-2),"\&amp;quot\;.*\&amp;quot\;\W","")</f>
        <v xml:space="preserve">Xandra Troyski </v>
      </c>
      <c r="D13" t="str">
        <f>VLOOKUP(SUBSTITUTE(TRIM(MID(H13,FIND(",TPE:",H13)-3,3)),"- ",""),Index!D:E,2,FALSE)</f>
        <v>Cornerback</v>
      </c>
      <c r="E13" t="str">
        <f>MID(H13,FIND("(",H13)+1,FIND(")",H13)-FIND("(",H13)-1)</f>
        <v>S10</v>
      </c>
      <c r="F13" t="s">
        <v>370</v>
      </c>
      <c r="G13">
        <f t="shared" si="2"/>
        <v>743</v>
      </c>
      <c r="H13" t="s">
        <v>217</v>
      </c>
    </row>
    <row r="14" spans="1:8" x14ac:dyDescent="0.25">
      <c r="A14">
        <f t="shared" si="0"/>
        <v>1</v>
      </c>
      <c r="B14">
        <f t="shared" si="1"/>
        <v>9383</v>
      </c>
      <c r="C14" t="str">
        <f>[1]!RegExpSubstitute(MID(H14,FIND("- ",H14)+2,FIND("- ",H14,FIND("- ",H14)+1)-FIND("- ",H14)-2),"\&amp;quot\;.*\&amp;quot\;\W","")</f>
        <v xml:space="preserve">Chris Orosz </v>
      </c>
      <c r="D14" t="str">
        <f>VLOOKUP(SUBSTITUTE(TRIM(MID(H14,FIND(",TPE:",H14)-3,3)),"- ",""),Index!D:E,2,FALSE)</f>
        <v>Runningback</v>
      </c>
      <c r="E14" t="str">
        <f>MID(H14,FIND("(",H14)+1,FIND(")",H14)-FIND("(",H14)-1)</f>
        <v>S10</v>
      </c>
      <c r="F14" t="s">
        <v>370</v>
      </c>
      <c r="G14">
        <f t="shared" si="2"/>
        <v>461</v>
      </c>
      <c r="H14" t="s">
        <v>187</v>
      </c>
    </row>
    <row r="15" spans="1:8" x14ac:dyDescent="0.25">
      <c r="A15">
        <f t="shared" si="0"/>
        <v>1</v>
      </c>
      <c r="B15">
        <f t="shared" si="1"/>
        <v>9381</v>
      </c>
      <c r="C15" t="str">
        <f>[1]!RegExpSubstitute(MID(H15,FIND("- ",H15)+2,FIND("- ",H15,FIND("- ",H15)+1)-FIND("- ",H15)-2),"\&amp;quot\;.*\&amp;quot\;\W","")</f>
        <v xml:space="preserve">D'Pez Poopsie </v>
      </c>
      <c r="D15" t="str">
        <f>VLOOKUP(SUBSTITUTE(TRIM(MID(H15,FIND(",TPE:",H15)-3,3)),"- ",""),Index!D:E,2,FALSE)</f>
        <v>Defensive Line</v>
      </c>
      <c r="E15" t="str">
        <f>MID(H15,FIND("(",H15)+1,FIND(")",H15)-FIND("(",H15)-1)</f>
        <v>S10</v>
      </c>
      <c r="F15" t="s">
        <v>370</v>
      </c>
      <c r="G15">
        <f t="shared" si="2"/>
        <v>1007</v>
      </c>
      <c r="H15" t="s">
        <v>218</v>
      </c>
    </row>
    <row r="16" spans="1:8" x14ac:dyDescent="0.25">
      <c r="A16">
        <f t="shared" si="0"/>
        <v>1</v>
      </c>
      <c r="B16">
        <f t="shared" si="1"/>
        <v>9239</v>
      </c>
      <c r="C16" t="str">
        <f>[1]!RegExpSubstitute(MID(H16,FIND("- ",H16)+2,FIND("- ",H16,FIND("- ",H16)+1)-FIND("- ",H16)-2),"\&amp;quot\;.*\&amp;quot\;\W","")</f>
        <v xml:space="preserve">Kazimir Oles </v>
      </c>
      <c r="D16" t="str">
        <f>VLOOKUP(SUBSTITUTE(TRIM(MID(H16,FIND(",TPE:",H16)-3,3)),"- ",""),Index!D:E,2,FALSE)</f>
        <v>Wide Receiver</v>
      </c>
      <c r="E16" t="str">
        <f>MID(H16,FIND("(",H16)+1,FIND(")",H16)-FIND("(",H16)-1)</f>
        <v>S10</v>
      </c>
      <c r="F16" t="s">
        <v>370</v>
      </c>
      <c r="G16">
        <f t="shared" si="2"/>
        <v>1052</v>
      </c>
      <c r="H16" t="s">
        <v>219</v>
      </c>
    </row>
    <row r="17" spans="1:8" x14ac:dyDescent="0.25">
      <c r="A17">
        <f t="shared" si="0"/>
        <v>1</v>
      </c>
      <c r="B17">
        <f t="shared" si="1"/>
        <v>9189</v>
      </c>
      <c r="C17" t="str">
        <f>[1]!RegExpSubstitute(MID(H17,FIND("- ",H17)+2,FIND("- ",H17,FIND("- ",H17)+1)-FIND("- ",H17)-2),"\&amp;quot\;.*\&amp;quot\;\W","")</f>
        <v xml:space="preserve">Joliet L. Christ </v>
      </c>
      <c r="D17" t="str">
        <f>VLOOKUP(SUBSTITUTE(TRIM(MID(H17,FIND(",TPE:",H17)-3,3)),"- ",""),Index!D:E,2,FALSE)</f>
        <v>Quarterback</v>
      </c>
      <c r="E17" t="str">
        <f>MID(H17,FIND("(",H17)+1,FIND(")",H17)-FIND("(",H17)-1)</f>
        <v>S10</v>
      </c>
      <c r="F17" t="s">
        <v>370</v>
      </c>
      <c r="G17">
        <f t="shared" si="2"/>
        <v>884</v>
      </c>
      <c r="H17" t="s">
        <v>220</v>
      </c>
    </row>
    <row r="18" spans="1:8" x14ac:dyDescent="0.25">
      <c r="A18">
        <f t="shared" si="0"/>
        <v>1</v>
      </c>
      <c r="B18">
        <f t="shared" si="1"/>
        <v>8851</v>
      </c>
      <c r="C18" t="str">
        <f>[1]!RegExpSubstitute(MID(H18,FIND("- ",H18)+2,FIND("- ",H18,FIND("- ",H18)+1)-FIND("- ",H18)-2),"\&amp;quot\;.*\&amp;quot\;\W","")</f>
        <v xml:space="preserve">Kolby Deringer </v>
      </c>
      <c r="D18" t="str">
        <f>VLOOKUP(SUBSTITUTE(TRIM(MID(H18,FIND(",TPE:",H18)-3,3)),"- ",""),Index!D:E,2,FALSE)</f>
        <v>Linebacker</v>
      </c>
      <c r="E18" t="str">
        <f>MID(H18,FIND("(",H18)+1,FIND(")",H18)-FIND("(",H18)-1)</f>
        <v>S9</v>
      </c>
      <c r="F18" t="s">
        <v>370</v>
      </c>
      <c r="G18">
        <f t="shared" si="2"/>
        <v>1045</v>
      </c>
      <c r="H18" t="s">
        <v>221</v>
      </c>
    </row>
    <row r="19" spans="1:8" x14ac:dyDescent="0.25">
      <c r="A19">
        <f t="shared" si="0"/>
        <v>1</v>
      </c>
      <c r="B19">
        <f t="shared" si="1"/>
        <v>8717</v>
      </c>
      <c r="C19" t="str">
        <f>[1]!RegExpSubstitute(MID(H19,FIND("- ",H19)+2,FIND("- ",H19,FIND("- ",H19)+1)-FIND("- ",H19)-2),"\&amp;quot\;.*\&amp;quot\;\W","")</f>
        <v xml:space="preserve">Xavier Flash </v>
      </c>
      <c r="D19" t="str">
        <f>VLOOKUP(SUBSTITUTE(TRIM(MID(H19,FIND(",TPE:",H19)-3,3)),"- ",""),Index!D:E,2,FALSE)</f>
        <v>Wide Receiver</v>
      </c>
      <c r="E19" t="str">
        <f>MID(H19,FIND("(",H19)+1,FIND(")",H19)-FIND("(",H19)-1)</f>
        <v>S9</v>
      </c>
      <c r="F19" t="s">
        <v>370</v>
      </c>
      <c r="G19">
        <f t="shared" si="2"/>
        <v>935</v>
      </c>
      <c r="H19" t="s">
        <v>222</v>
      </c>
    </row>
    <row r="20" spans="1:8" x14ac:dyDescent="0.25">
      <c r="A20">
        <f t="shared" si="0"/>
        <v>1</v>
      </c>
      <c r="B20">
        <f t="shared" si="1"/>
        <v>8551</v>
      </c>
      <c r="C20" t="str">
        <f>[1]!RegExpSubstitute(MID(H20,FIND("- ",H20)+2,FIND("- ",H20,FIND("- ",H20)+1)-FIND("- ",H20)-2),"\&amp;quot\;.*\&amp;quot\;\W","")</f>
        <v xml:space="preserve">Zapp Brannigan </v>
      </c>
      <c r="D20" t="str">
        <f>VLOOKUP(SUBSTITUTE(TRIM(MID(H20,FIND(",TPE:",H20)-3,3)),"- ",""),Index!D:E,2,FALSE)</f>
        <v>Tight End</v>
      </c>
      <c r="E20" t="str">
        <f>MID(H20,FIND("(",H20)+1,FIND(")",H20)-FIND("(",H20)-1)</f>
        <v>S9</v>
      </c>
      <c r="F20" t="s">
        <v>370</v>
      </c>
      <c r="G20">
        <f t="shared" si="2"/>
        <v>581</v>
      </c>
      <c r="H20" t="s">
        <v>188</v>
      </c>
    </row>
    <row r="21" spans="1:8" x14ac:dyDescent="0.25">
      <c r="A21">
        <f t="shared" si="0"/>
        <v>1</v>
      </c>
      <c r="B21">
        <f t="shared" si="1"/>
        <v>7933</v>
      </c>
      <c r="C21" t="str">
        <f>[1]!RegExpSubstitute(MID(H21,FIND("- ",H21)+2,FIND("- ",H21,FIND("- ",H21)+1)-FIND("- ",H21)-2),"\&amp;quot\;.*\&amp;quot\;\W","")</f>
        <v xml:space="preserve">Thad Pennington </v>
      </c>
      <c r="D21" t="str">
        <f>VLOOKUP(SUBSTITUTE(TRIM(MID(H21,FIND(",TPE:",H21)-3,3)),"- ",""),Index!D:E,2,FALSE)</f>
        <v>Safety</v>
      </c>
      <c r="E21" t="str">
        <f>MID(H21,FIND("(",H21)+1,FIND(")",H21)-FIND("(",H21)-1)</f>
        <v>S8</v>
      </c>
      <c r="F21" t="s">
        <v>370</v>
      </c>
      <c r="G21">
        <f t="shared" si="2"/>
        <v>742</v>
      </c>
      <c r="H21" t="s">
        <v>223</v>
      </c>
    </row>
    <row r="22" spans="1:8" x14ac:dyDescent="0.25">
      <c r="A22">
        <f t="shared" si="0"/>
        <v>1</v>
      </c>
      <c r="B22">
        <f t="shared" si="1"/>
        <v>7930</v>
      </c>
      <c r="C22" t="str">
        <f>[1]!RegExpSubstitute(MID(H22,FIND("- ",H22)+2,FIND("- ",H22,FIND("- ",H22)+1)-FIND("- ",H22)-2),"\&amp;quot\;.*\&amp;quot\;\W","")</f>
        <v xml:space="preserve">Chad Pennington </v>
      </c>
      <c r="D22" t="str">
        <f>VLOOKUP(SUBSTITUTE(TRIM(MID(H22,FIND(",TPE:",H22)-3,3)),"- ",""),Index!D:E,2,FALSE)</f>
        <v>Linebacker</v>
      </c>
      <c r="E22" t="str">
        <f>MID(H22,FIND("(",H22)+1,FIND(")",H22)-FIND("(",H22)-1)</f>
        <v>S8</v>
      </c>
      <c r="F22" t="s">
        <v>370</v>
      </c>
      <c r="G22">
        <f t="shared" si="2"/>
        <v>1159</v>
      </c>
      <c r="H22" t="s">
        <v>224</v>
      </c>
    </row>
    <row r="23" spans="1:8" x14ac:dyDescent="0.25">
      <c r="A23">
        <f t="shared" si="0"/>
        <v>1</v>
      </c>
      <c r="B23">
        <f t="shared" si="1"/>
        <v>11114</v>
      </c>
      <c r="C23" t="str">
        <f>[1]!RegExpSubstitute(MID(H23,FIND("- ",H23)+2,FIND("- ",H23,FIND("- ",H23)+1)-FIND("- ",H23)-2),"\&amp;quot\;.*\&amp;quot\;\W","")</f>
        <v xml:space="preserve">Corey Trevor </v>
      </c>
      <c r="D23" t="str">
        <f>VLOOKUP(SUBSTITUTE(TRIM(MID(H23,FIND(",TPE:",H23)-3,3)),"- ",""),Index!D:E,2,FALSE)</f>
        <v>Runningback</v>
      </c>
      <c r="E23" t="str">
        <f>MID(H23,FIND("(",H23)+1,FIND(")",H23)-FIND("(",H23)-1)</f>
        <v>S13</v>
      </c>
      <c r="F23" t="s">
        <v>371</v>
      </c>
      <c r="G23">
        <f t="shared" si="2"/>
        <v>190</v>
      </c>
      <c r="H23" t="s">
        <v>96</v>
      </c>
    </row>
    <row r="24" spans="1:8" x14ac:dyDescent="0.25">
      <c r="A24">
        <f t="shared" si="0"/>
        <v>1</v>
      </c>
      <c r="B24">
        <f t="shared" si="1"/>
        <v>11163</v>
      </c>
      <c r="C24" t="str">
        <f>[1]!RegExpSubstitute(MID(H24,FIND("- ",H24)+2,FIND("- ",H24,FIND("- ",H24)+1)-FIND("- ",H24)-2),"\&amp;quot\;.*\&amp;quot\;\W","")</f>
        <v xml:space="preserve">Alex Frost </v>
      </c>
      <c r="D24" t="str">
        <f>VLOOKUP(SUBSTITUTE(TRIM(MID(H24,FIND(",TPE:",H24)-3,3)),"- ",""),Index!D:E,2,FALSE)</f>
        <v>Kicker</v>
      </c>
      <c r="E24" t="str">
        <f>MID(H24,FIND("(",H24)+1,FIND(")",H24)-FIND("(",H24)-1)</f>
        <v>S13</v>
      </c>
      <c r="F24" t="s">
        <v>371</v>
      </c>
      <c r="G24">
        <f t="shared" si="2"/>
        <v>141</v>
      </c>
      <c r="H24" t="s">
        <v>97</v>
      </c>
    </row>
    <row r="25" spans="1:8" x14ac:dyDescent="0.25">
      <c r="A25">
        <f t="shared" si="0"/>
        <v>1</v>
      </c>
      <c r="B25">
        <f t="shared" si="1"/>
        <v>10598</v>
      </c>
      <c r="C25" t="str">
        <f>[1]!RegExpSubstitute(MID(H25,FIND("- ",H25)+2,FIND("- ",H25,FIND("- ",H25)+1)-FIND("- ",H25)-2),"\&amp;quot\;.*\&amp;quot\;\W","")</f>
        <v xml:space="preserve">Arbin Asipi III </v>
      </c>
      <c r="D25" t="str">
        <f>VLOOKUP(SUBSTITUTE(TRIM(MID(H25,FIND(",TPE:",H25)-3,3)),"- ",""),Index!D:E,2,FALSE)</f>
        <v>Cornerback</v>
      </c>
      <c r="E25" t="str">
        <f>MID(H25,FIND("(",H25)+1,FIND(")",H25)-FIND("(",H25)-1)</f>
        <v>S12</v>
      </c>
      <c r="F25" t="s">
        <v>371</v>
      </c>
      <c r="G25">
        <f t="shared" si="2"/>
        <v>491</v>
      </c>
      <c r="H25" t="s">
        <v>98</v>
      </c>
    </row>
    <row r="26" spans="1:8" x14ac:dyDescent="0.25">
      <c r="A26">
        <f t="shared" si="0"/>
        <v>1</v>
      </c>
      <c r="B26">
        <f t="shared" si="1"/>
        <v>10629</v>
      </c>
      <c r="C26" t="str">
        <f>[1]!RegExpSubstitute(MID(H26,FIND("- ",H26)+2,FIND("- ",H26,FIND("- ",H26)+1)-FIND("- ",H26)-2),"\&amp;quot\;.*\&amp;quot\;\W","")</f>
        <v xml:space="preserve">Charlie Trout </v>
      </c>
      <c r="D26" t="str">
        <f>VLOOKUP(SUBSTITUTE(TRIM(MID(H26,FIND(",TPE:",H26)-3,3)),"- ",""),Index!D:E,2,FALSE)</f>
        <v>Linebacker</v>
      </c>
      <c r="E26" t="str">
        <f>MID(H26,FIND("(",H26)+1,FIND(")",H26)-FIND("(",H26)-1)</f>
        <v>S12</v>
      </c>
      <c r="F26" t="s">
        <v>371</v>
      </c>
      <c r="G26">
        <f t="shared" si="2"/>
        <v>655</v>
      </c>
      <c r="H26" t="s">
        <v>225</v>
      </c>
    </row>
    <row r="27" spans="1:8" x14ac:dyDescent="0.25">
      <c r="A27">
        <f t="shared" si="0"/>
        <v>1</v>
      </c>
      <c r="B27">
        <f t="shared" si="1"/>
        <v>10480</v>
      </c>
      <c r="C27" t="str">
        <f>[1]!RegExpSubstitute(MID(H27,FIND("- ",H27)+2,FIND("- ",H27,FIND("- ",H27)+1)-FIND("- ",H27)-2),"\&amp;quot\;.*\&amp;quot\;\W","")</f>
        <v xml:space="preserve">Errol Maddox </v>
      </c>
      <c r="D27" t="str">
        <f>VLOOKUP(SUBSTITUTE(TRIM(MID(H27,FIND(",TPE:",H27)-3,3)),"- ",""),Index!D:E,2,FALSE)</f>
        <v>Wide Receiver</v>
      </c>
      <c r="E27" t="str">
        <f>MID(H27,FIND("(",H27)+1,FIND(")",H27)-FIND("(",H27)-1)</f>
        <v>S12</v>
      </c>
      <c r="F27" t="s">
        <v>371</v>
      </c>
      <c r="G27">
        <f t="shared" si="2"/>
        <v>698</v>
      </c>
      <c r="H27" t="s">
        <v>226</v>
      </c>
    </row>
    <row r="28" spans="1:8" x14ac:dyDescent="0.25">
      <c r="A28">
        <f t="shared" si="0"/>
        <v>1</v>
      </c>
      <c r="B28">
        <f t="shared" si="1"/>
        <v>10454</v>
      </c>
      <c r="C28" t="str">
        <f>[1]!RegExpSubstitute(MID(H28,FIND("- ",H28)+2,FIND("- ",H28,FIND("- ",H28)+1)-FIND("- ",H28)-2),"\&amp;quot\;.*\&amp;quot\;\W","")</f>
        <v xml:space="preserve">Thomas Clark </v>
      </c>
      <c r="D28" t="str">
        <f>VLOOKUP(SUBSTITUTE(TRIM(MID(H28,FIND(",TPE:",H28)-3,3)),"- ",""),Index!D:E,2,FALSE)</f>
        <v>Defensive Line</v>
      </c>
      <c r="E28" t="str">
        <f>MID(H28,FIND("(",H28)+1,FIND(")",H28)-FIND("(",H28)-1)</f>
        <v>S12</v>
      </c>
      <c r="F28" t="s">
        <v>371</v>
      </c>
      <c r="G28">
        <f t="shared" si="2"/>
        <v>125</v>
      </c>
      <c r="H28" t="s">
        <v>69</v>
      </c>
    </row>
    <row r="29" spans="1:8" x14ac:dyDescent="0.25">
      <c r="A29">
        <f t="shared" si="0"/>
        <v>1</v>
      </c>
      <c r="B29">
        <f t="shared" si="1"/>
        <v>10429</v>
      </c>
      <c r="C29" t="str">
        <f>[1]!RegExpSubstitute(MID(H29,FIND("- ",H29)+2,FIND("- ",H29,FIND("- ",H29)+1)-FIND("- ",H29)-2),"\&amp;quot\;.*\&amp;quot\;\W","")</f>
        <v xml:space="preserve">Jaylin Hobbs </v>
      </c>
      <c r="D29" t="str">
        <f>VLOOKUP(SUBSTITUTE(TRIM(MID(H29,FIND(",TPE:",H29)-3,3)),"- ",""),Index!D:E,2,FALSE)</f>
        <v>Defensive Line</v>
      </c>
      <c r="E29" t="str">
        <f>MID(H29,FIND("(",H29)+1,FIND(")",H29)-FIND("(",H29)-1)</f>
        <v>S11</v>
      </c>
      <c r="F29" t="s">
        <v>371</v>
      </c>
      <c r="G29">
        <f t="shared" si="2"/>
        <v>280</v>
      </c>
      <c r="H29" t="s">
        <v>227</v>
      </c>
    </row>
    <row r="30" spans="1:8" x14ac:dyDescent="0.25">
      <c r="A30">
        <f t="shared" si="0"/>
        <v>1</v>
      </c>
      <c r="B30">
        <f t="shared" si="1"/>
        <v>10024</v>
      </c>
      <c r="C30" t="str">
        <f>[1]!RegExpSubstitute(MID(H30,FIND("- ",H30)+2,FIND("- ",H30,FIND("- ",H30)+1)-FIND("- ",H30)-2),"\&amp;quot\;.*\&amp;quot\;\W","")</f>
        <v xml:space="preserve">Yulic Nagasawa </v>
      </c>
      <c r="D30" t="str">
        <f>VLOOKUP(SUBSTITUTE(TRIM(MID(H30,FIND(",TPE:",H30)-3,3)),"- ",""),Index!D:E,2,FALSE)</f>
        <v>Wide Receiver</v>
      </c>
      <c r="E30" t="str">
        <f>MID(H30,FIND("(",H30)+1,FIND(")",H30)-FIND("(",H30)-1)</f>
        <v>S11</v>
      </c>
      <c r="F30" t="s">
        <v>371</v>
      </c>
      <c r="G30">
        <f t="shared" si="2"/>
        <v>500</v>
      </c>
      <c r="H30" t="s">
        <v>99</v>
      </c>
    </row>
    <row r="31" spans="1:8" x14ac:dyDescent="0.25">
      <c r="A31">
        <f t="shared" si="0"/>
        <v>1</v>
      </c>
      <c r="B31">
        <f t="shared" si="1"/>
        <v>9838</v>
      </c>
      <c r="C31" t="str">
        <f>[1]!RegExpSubstitute(MID(H31,FIND("- ",H31)+2,FIND("- ",H31,FIND("- ",H31)+1)-FIND("- ",H31)-2),"\&amp;quot\;.*\&amp;quot\;\W","")</f>
        <v xml:space="preserve">Kwame Abayomi Mbanefo </v>
      </c>
      <c r="D31" t="str">
        <f>VLOOKUP(SUBSTITUTE(TRIM(MID(H31,FIND(",TPE:",H31)-3,3)),"- ",""),Index!D:E,2,FALSE)</f>
        <v>Defensive Line</v>
      </c>
      <c r="E31" t="str">
        <f>MID(H31,FIND("(",H31)+1,FIND(")",H31)-FIND("(",H31)-1)</f>
        <v>S11</v>
      </c>
      <c r="F31" t="s">
        <v>371</v>
      </c>
      <c r="G31">
        <f t="shared" si="2"/>
        <v>711</v>
      </c>
      <c r="H31" t="s">
        <v>228</v>
      </c>
    </row>
    <row r="32" spans="1:8" x14ac:dyDescent="0.25">
      <c r="A32">
        <f t="shared" si="0"/>
        <v>1</v>
      </c>
      <c r="B32">
        <f t="shared" si="1"/>
        <v>9412</v>
      </c>
      <c r="C32" t="str">
        <f>[1]!RegExpSubstitute(MID(H32,FIND("- ",H32)+2,FIND("- ",H32,FIND("- ",H32)+1)-FIND("- ",H32)-2),"\&amp;quot\;.*\&amp;quot\;\W","")</f>
        <v xml:space="preserve">Steven Oats </v>
      </c>
      <c r="D32" t="str">
        <f>VLOOKUP(SUBSTITUTE(TRIM(MID(H32,FIND(",TPE:",H32)-3,3)),"- ",""),Index!D:E,2,FALSE)</f>
        <v>Safety</v>
      </c>
      <c r="E32" t="str">
        <f>MID(H32,FIND("(",H32)+1,FIND(")",H32)-FIND("(",H32)-1)</f>
        <v>S10</v>
      </c>
      <c r="F32" t="s">
        <v>371</v>
      </c>
      <c r="G32">
        <f t="shared" si="2"/>
        <v>395</v>
      </c>
      <c r="H32" t="s">
        <v>100</v>
      </c>
    </row>
    <row r="33" spans="1:8" x14ac:dyDescent="0.25">
      <c r="A33">
        <f t="shared" si="0"/>
        <v>1</v>
      </c>
      <c r="B33">
        <f t="shared" si="1"/>
        <v>9347</v>
      </c>
      <c r="C33" t="str">
        <f>[1]!RegExpSubstitute(MID(H33,FIND("- ",H33)+2,FIND("- ",H33,FIND("- ",H33)+1)-FIND("- ",H33)-2),"\&amp;quot\;.*\&amp;quot\;\W","")</f>
        <v xml:space="preserve">Achilles Hondo </v>
      </c>
      <c r="D33" t="str">
        <f>VLOOKUP(SUBSTITUTE(TRIM(MID(H33,FIND(",TPE:",H33)-3,3)),"- ",""),Index!D:E,2,FALSE)</f>
        <v>Cornerback</v>
      </c>
      <c r="E33" t="str">
        <f>MID(H33,FIND("(",H33)+1,FIND(")",H33)-FIND("(",H33)-1)</f>
        <v>S10</v>
      </c>
      <c r="F33" t="s">
        <v>371</v>
      </c>
      <c r="G33">
        <f t="shared" si="2"/>
        <v>685</v>
      </c>
      <c r="H33" t="s">
        <v>101</v>
      </c>
    </row>
    <row r="34" spans="1:8" x14ac:dyDescent="0.25">
      <c r="A34">
        <f t="shared" si="0"/>
        <v>1</v>
      </c>
      <c r="B34">
        <f t="shared" si="1"/>
        <v>8834</v>
      </c>
      <c r="C34" t="str">
        <f>[1]!RegExpSubstitute(MID(H34,FIND("- ",H34)+2,FIND("- ",H34,FIND("- ",H34)+1)-FIND("- ",H34)-2),"\&amp;quot\;.*\&amp;quot\;\W","")</f>
        <v xml:space="preserve">Marquise Brown </v>
      </c>
      <c r="D34" t="str">
        <f>VLOOKUP(SUBSTITUTE(TRIM(MID(H34,FIND(",TPE:",H34)-3,3)),"- ",""),Index!D:E,2,FALSE)</f>
        <v>Runningback</v>
      </c>
      <c r="E34" t="str">
        <f>MID(H34,FIND("(",H34)+1,FIND(")",H34)-FIND("(",H34)-1)</f>
        <v>S9</v>
      </c>
      <c r="F34" t="s">
        <v>371</v>
      </c>
      <c r="G34">
        <f t="shared" si="2"/>
        <v>981</v>
      </c>
      <c r="H34" t="s">
        <v>229</v>
      </c>
    </row>
    <row r="35" spans="1:8" x14ac:dyDescent="0.25">
      <c r="A35">
        <f t="shared" si="0"/>
        <v>1</v>
      </c>
      <c r="B35">
        <f t="shared" si="1"/>
        <v>8751</v>
      </c>
      <c r="C35" t="str">
        <f>[1]!RegExpSubstitute(MID(H35,FIND("- ",H35)+2,FIND("- ",H35,FIND("- ",H35)+1)-FIND("- ",H35)-2),"\&amp;quot\;.*\&amp;quot\;\W","")</f>
        <v xml:space="preserve">Vinny Valentine </v>
      </c>
      <c r="D35" t="str">
        <f>VLOOKUP(SUBSTITUTE(TRIM(MID(H35,FIND(",TPE:",H35)-3,3)),"- ",""),Index!D:E,2,FALSE)</f>
        <v>Wide Receiver</v>
      </c>
      <c r="E35" t="str">
        <f>MID(H35,FIND("(",H35)+1,FIND(")",H35)-FIND("(",H35)-1)</f>
        <v>S9</v>
      </c>
      <c r="F35" t="s">
        <v>371</v>
      </c>
      <c r="G35">
        <f t="shared" si="2"/>
        <v>993</v>
      </c>
      <c r="H35" t="s">
        <v>230</v>
      </c>
    </row>
    <row r="36" spans="1:8" x14ac:dyDescent="0.25">
      <c r="A36">
        <f t="shared" si="0"/>
        <v>1</v>
      </c>
      <c r="B36">
        <f t="shared" si="1"/>
        <v>8580</v>
      </c>
      <c r="C36" t="str">
        <f>[1]!RegExpSubstitute(MID(H36,FIND("- ",H36)+2,FIND("- ",H36,FIND("- ",H36)+1)-FIND("- ",H36)-2),"\&amp;quot\;.*\&amp;quot\;\W","")</f>
        <v xml:space="preserve">Declan Harp </v>
      </c>
      <c r="D36" t="str">
        <f>VLOOKUP(SUBSTITUTE(TRIM(MID(H36,FIND(",TPE:",H36)-3,3)),"- ",""),Index!D:E,2,FALSE)</f>
        <v>Tight End</v>
      </c>
      <c r="E36" t="str">
        <f>MID(H36,FIND("(",H36)+1,FIND(")",H36)-FIND("(",H36)-1)</f>
        <v>S9</v>
      </c>
      <c r="F36" t="s">
        <v>371</v>
      </c>
      <c r="G36">
        <f t="shared" si="2"/>
        <v>740</v>
      </c>
      <c r="H36" t="s">
        <v>102</v>
      </c>
    </row>
    <row r="37" spans="1:8" x14ac:dyDescent="0.25">
      <c r="A37">
        <f t="shared" si="0"/>
        <v>1</v>
      </c>
      <c r="B37">
        <f t="shared" si="1"/>
        <v>8172</v>
      </c>
      <c r="C37" t="str">
        <f>[1]!RegExpSubstitute(MID(H37,FIND("- ",H37)+2,FIND("- ",H37,FIND("- ",H37)+1)-FIND("- ",H37)-2),"\&amp;quot\;.*\&amp;quot\;\W","")</f>
        <v xml:space="preserve">Ben Horne </v>
      </c>
      <c r="D37" t="str">
        <f>VLOOKUP(SUBSTITUTE(TRIM(MID(H37,FIND(",TPE:",H37)-3,3)),"- ",""),Index!D:E,2,FALSE)</f>
        <v>Linebacker</v>
      </c>
      <c r="E37" t="str">
        <f>MID(H37,FIND("(",H37)+1,FIND(")",H37)-FIND("(",H37)-1)</f>
        <v>S8</v>
      </c>
      <c r="F37" t="s">
        <v>371</v>
      </c>
      <c r="G37">
        <f t="shared" si="2"/>
        <v>995</v>
      </c>
      <c r="H37" t="s">
        <v>231</v>
      </c>
    </row>
    <row r="38" spans="1:8" x14ac:dyDescent="0.25">
      <c r="A38">
        <f t="shared" si="0"/>
        <v>1</v>
      </c>
      <c r="B38">
        <f t="shared" si="1"/>
        <v>7976</v>
      </c>
      <c r="C38" t="str">
        <f>[1]!RegExpSubstitute(MID(H38,FIND("- ",H38)+2,FIND("- ",H38,FIND("- ",H38)+1)-FIND("- ",H38)-2),"\&amp;quot\;.*\&amp;quot\;\W","")</f>
        <v xml:space="preserve">Childish Gambino </v>
      </c>
      <c r="D38" t="str">
        <f>VLOOKUP(SUBSTITUTE(TRIM(MID(H38,FIND(",TPE:",H38)-3,3)),"- ",""),Index!D:E,2,FALSE)</f>
        <v>Quarterback</v>
      </c>
      <c r="E38" t="str">
        <f>MID(H38,FIND("(",H38)+1,FIND(")",H38)-FIND("(",H38)-1)</f>
        <v>S8</v>
      </c>
      <c r="F38" t="s">
        <v>371</v>
      </c>
      <c r="G38">
        <f t="shared" si="2"/>
        <v>1037</v>
      </c>
      <c r="H38" t="s">
        <v>232</v>
      </c>
    </row>
    <row r="39" spans="1:8" x14ac:dyDescent="0.25">
      <c r="A39">
        <f t="shared" si="0"/>
        <v>1</v>
      </c>
      <c r="B39">
        <f t="shared" si="1"/>
        <v>7710</v>
      </c>
      <c r="C39" t="str">
        <f>[1]!RegExpSubstitute(MID(H39,FIND("- ",H39)+2,FIND("- ",H39,FIND("- ",H39)+1)-FIND("- ",H39)-2),"\&amp;quot\;.*\&amp;quot\;\W","")</f>
        <v xml:space="preserve">Verso L'Alto </v>
      </c>
      <c r="D39" t="str">
        <f>VLOOKUP(SUBSTITUTE(TRIM(MID(H39,FIND(",TPE:",H39)-3,3)),"- ",""),Index!D:E,2,FALSE)</f>
        <v>Tight End</v>
      </c>
      <c r="E39" t="str">
        <f>MID(H39,FIND("(",H39)+1,FIND(")",H39)-FIND("(",H39)-1)</f>
        <v>S7</v>
      </c>
      <c r="F39" t="s">
        <v>371</v>
      </c>
      <c r="G39">
        <f t="shared" si="2"/>
        <v>1177</v>
      </c>
      <c r="H39" t="s">
        <v>233</v>
      </c>
    </row>
    <row r="40" spans="1:8" x14ac:dyDescent="0.25">
      <c r="A40">
        <f t="shared" si="0"/>
        <v>1</v>
      </c>
      <c r="B40">
        <f t="shared" si="1"/>
        <v>6510</v>
      </c>
      <c r="C40" t="str">
        <f>[1]!RegExpSubstitute(MID(H40,FIND("- ",H40)+2,FIND("- ",H40,FIND("- ",H40)+1)-FIND("- ",H40)-2),"\&amp;quot\;.*\&amp;quot\;\W","")</f>
        <v xml:space="preserve">Austin Roenick </v>
      </c>
      <c r="D40" t="str">
        <f>VLOOKUP(SUBSTITUTE(TRIM(MID(H40,FIND(",TPE:",H40)-3,3)),"- ",""),Index!D:E,2,FALSE)</f>
        <v>Linebacker</v>
      </c>
      <c r="E40" t="str">
        <f>MID(H40,FIND("(",H40)+1,FIND(")",H40)-FIND("(",H40)-1)</f>
        <v>S6</v>
      </c>
      <c r="F40" t="s">
        <v>371</v>
      </c>
      <c r="G40">
        <f t="shared" si="2"/>
        <v>822</v>
      </c>
      <c r="H40" t="s">
        <v>234</v>
      </c>
    </row>
    <row r="41" spans="1:8" x14ac:dyDescent="0.25">
      <c r="A41">
        <f t="shared" si="0"/>
        <v>1</v>
      </c>
      <c r="B41">
        <f t="shared" si="1"/>
        <v>5358</v>
      </c>
      <c r="C41" t="str">
        <f>[1]!RegExpSubstitute(MID(H41,FIND("- ",H41)+2,FIND("- ",H41,FIND("- ",H41)+1)-FIND("- ",H41)-2),"\&amp;quot\;.*\&amp;quot\;\W","")</f>
        <v xml:space="preserve">Gregory Fletcher </v>
      </c>
      <c r="D41" t="str">
        <f>VLOOKUP(SUBSTITUTE(TRIM(MID(H41,FIND(",TPE:",H41)-3,3)),"- ",""),Index!D:E,2,FALSE)</f>
        <v>Cornerback</v>
      </c>
      <c r="E41" t="str">
        <f>MID(H41,FIND("(",H41)+1,FIND(")",H41)-FIND("(",H41)-1)</f>
        <v>S5</v>
      </c>
      <c r="F41" t="s">
        <v>371</v>
      </c>
      <c r="G41">
        <f t="shared" si="2"/>
        <v>229</v>
      </c>
      <c r="H41" t="s">
        <v>103</v>
      </c>
    </row>
    <row r="42" spans="1:8" x14ac:dyDescent="0.25">
      <c r="A42">
        <f t="shared" si="0"/>
        <v>1</v>
      </c>
      <c r="B42">
        <f t="shared" si="1"/>
        <v>5130</v>
      </c>
      <c r="C42" t="str">
        <f>[1]!RegExpSubstitute(MID(H42,FIND("- ",H42)+2,FIND("- ",H42,FIND("- ",H42)+1)-FIND("- ",H42)-2),"\&amp;quot\;.*\&amp;quot\;\W","")</f>
        <v xml:space="preserve">Andre Bly Jr. </v>
      </c>
      <c r="D42" t="str">
        <f>VLOOKUP(SUBSTITUTE(TRIM(MID(H42,FIND(",TPE:",H42)-3,3)),"- ",""),Index!D:E,2,FALSE)</f>
        <v>Cornerback</v>
      </c>
      <c r="E42" t="str">
        <f>MID(H42,FIND("(",H42)+1,FIND(")",H42)-FIND("(",H42)-1)</f>
        <v>S5</v>
      </c>
      <c r="F42" t="s">
        <v>371</v>
      </c>
      <c r="G42">
        <f t="shared" si="2"/>
        <v>410</v>
      </c>
      <c r="H42" t="s">
        <v>104</v>
      </c>
    </row>
    <row r="43" spans="1:8" x14ac:dyDescent="0.25">
      <c r="A43">
        <f t="shared" si="0"/>
        <v>1</v>
      </c>
      <c r="B43">
        <f t="shared" si="1"/>
        <v>4964</v>
      </c>
      <c r="C43" t="str">
        <f>[1]!RegExpSubstitute(MID(H43,FIND("- ",H43)+2,FIND("- ",H43,FIND("- ",H43)+1)-FIND("- ",H43)-2),"\&amp;quot\;.*\&amp;quot\;\W","")</f>
        <v xml:space="preserve">Blackford Oakes </v>
      </c>
      <c r="D43" t="str">
        <f>VLOOKUP(SUBSTITUTE(TRIM(MID(H43,FIND(",TPE:",H43)-3,3)),"- ",""),Index!D:E,2,FALSE)</f>
        <v>Safety</v>
      </c>
      <c r="E43" t="str">
        <f>MID(H43,FIND("(",H43)+1,FIND(")",H43)-FIND("(",H43)-1)</f>
        <v>S4</v>
      </c>
      <c r="F43" t="s">
        <v>371</v>
      </c>
      <c r="G43">
        <f t="shared" si="2"/>
        <v>517</v>
      </c>
      <c r="H43" t="s">
        <v>105</v>
      </c>
    </row>
    <row r="44" spans="1:8" x14ac:dyDescent="0.25">
      <c r="A44">
        <f t="shared" si="0"/>
        <v>1</v>
      </c>
      <c r="B44">
        <f t="shared" si="1"/>
        <v>11072</v>
      </c>
      <c r="C44" t="str">
        <f>[1]!RegExpSubstitute(MID(H44,FIND("- ",H44)+2,FIND("- ",H44,FIND("- ",H44)+1)-FIND("- ",H44)-2),"\&amp;quot\;.*\&amp;quot\;\W","")</f>
        <v xml:space="preserve">Caleb McCoy </v>
      </c>
      <c r="D44" t="str">
        <f>VLOOKUP(SUBSTITUTE(TRIM(MID(H44,FIND(",TPE:",H44)-3,3)),"- ",""),Index!D:E,2,FALSE)</f>
        <v>Safety</v>
      </c>
      <c r="E44" t="str">
        <f>MID(H44,FIND("(",H44)+1,FIND(")",H44)-FIND("(",H44)-1)</f>
        <v>S13</v>
      </c>
      <c r="F44" t="s">
        <v>372</v>
      </c>
      <c r="G44">
        <f t="shared" si="2"/>
        <v>243</v>
      </c>
      <c r="H44" t="s">
        <v>235</v>
      </c>
    </row>
    <row r="45" spans="1:8" x14ac:dyDescent="0.25">
      <c r="A45">
        <f t="shared" si="0"/>
        <v>1</v>
      </c>
      <c r="B45">
        <f t="shared" si="1"/>
        <v>10967</v>
      </c>
      <c r="C45" t="str">
        <f>[1]!RegExpSubstitute(MID(H45,FIND("- ",H45)+2,FIND("- ",H45,FIND("- ",H45)+1)-FIND("- ",H45)-2),"\&amp;quot\;.*\&amp;quot\;\W","")</f>
        <v xml:space="preserve">Joey Sachs </v>
      </c>
      <c r="D45" t="str">
        <f>VLOOKUP(SUBSTITUTE(TRIM(MID(H45,FIND(",TPE:",H45)-3,3)),"- ",""),Index!D:E,2,FALSE)</f>
        <v>Defensive Line</v>
      </c>
      <c r="E45" t="str">
        <f>MID(H45,FIND("(",H45)+1,FIND(")",H45)-FIND("(",H45)-1)</f>
        <v>S12</v>
      </c>
      <c r="F45" t="s">
        <v>372</v>
      </c>
      <c r="G45">
        <f t="shared" si="2"/>
        <v>162</v>
      </c>
      <c r="H45" t="s">
        <v>106</v>
      </c>
    </row>
    <row r="46" spans="1:8" x14ac:dyDescent="0.25">
      <c r="A46">
        <f t="shared" si="0"/>
        <v>1</v>
      </c>
      <c r="B46">
        <f t="shared" si="1"/>
        <v>10834</v>
      </c>
      <c r="C46" t="str">
        <f>[1]!RegExpSubstitute(MID(H46,FIND("- ",H46)+2,FIND("- ",H46,FIND("- ",H46)+1)-FIND("- ",H46)-2),"\&amp;quot\;.*\&amp;quot\;\W","")</f>
        <v xml:space="preserve">Soupy McBrain </v>
      </c>
      <c r="D46" t="str">
        <f>VLOOKUP(SUBSTITUTE(TRIM(MID(H46,FIND(",TPE:",H46)-3,3)),"- ",""),Index!D:E,2,FALSE)</f>
        <v>Linebacker</v>
      </c>
      <c r="E46" t="str">
        <f>MID(H46,FIND("(",H46)+1,FIND(")",H46)-FIND("(",H46)-1)</f>
        <v>S12</v>
      </c>
      <c r="F46" t="s">
        <v>372</v>
      </c>
      <c r="G46">
        <f t="shared" si="2"/>
        <v>155</v>
      </c>
      <c r="H46" t="s">
        <v>107</v>
      </c>
    </row>
    <row r="47" spans="1:8" x14ac:dyDescent="0.25">
      <c r="A47">
        <f t="shared" si="0"/>
        <v>1</v>
      </c>
      <c r="B47">
        <f t="shared" si="1"/>
        <v>10712</v>
      </c>
      <c r="C47" t="str">
        <f>[1]!RegExpSubstitute(MID(H47,FIND("- ",H47)+2,FIND("- ",H47,FIND("- ",H47)+1)-FIND("- ",H47)-2),"\&amp;quot\;.*\&amp;quot\;\W","")</f>
        <v xml:space="preserve">Jonathan Towers </v>
      </c>
      <c r="D47" t="str">
        <f>VLOOKUP(SUBSTITUTE(TRIM(MID(H47,FIND(",TPE:",H47)-3,3)),"- ",""),Index!D:E,2,FALSE)</f>
        <v>Safety</v>
      </c>
      <c r="E47" t="str">
        <f>MID(H47,FIND("(",H47)+1,FIND(")",H47)-FIND("(",H47)-1)</f>
        <v>S12</v>
      </c>
      <c r="F47" t="s">
        <v>372</v>
      </c>
      <c r="G47">
        <f t="shared" si="2"/>
        <v>182</v>
      </c>
      <c r="H47" t="s">
        <v>108</v>
      </c>
    </row>
    <row r="48" spans="1:8" x14ac:dyDescent="0.25">
      <c r="A48">
        <f t="shared" si="0"/>
        <v>1</v>
      </c>
      <c r="B48">
        <f t="shared" si="1"/>
        <v>10708</v>
      </c>
      <c r="C48" t="str">
        <f>[1]!RegExpSubstitute(MID(H48,FIND("- ",H48)+2,FIND("- ",H48,FIND("- ",H48)+1)-FIND("- ",H48)-2),"\&amp;quot\;.*\&amp;quot\;\W","")</f>
        <v xml:space="preserve">Axel Hornbacher </v>
      </c>
      <c r="D48" t="str">
        <f>VLOOKUP(SUBSTITUTE(TRIM(MID(H48,FIND(",TPE:",H48)-3,3)),"- ",""),Index!D:E,2,FALSE)</f>
        <v>Cornerback</v>
      </c>
      <c r="E48" t="str">
        <f>MID(H48,FIND("(",H48)+1,FIND(")",H48)-FIND("(",H48)-1)</f>
        <v>S12</v>
      </c>
      <c r="F48" t="s">
        <v>372</v>
      </c>
      <c r="G48">
        <f t="shared" si="2"/>
        <v>626</v>
      </c>
      <c r="H48" t="s">
        <v>236</v>
      </c>
    </row>
    <row r="49" spans="1:8" x14ac:dyDescent="0.25">
      <c r="A49">
        <f t="shared" si="0"/>
        <v>1</v>
      </c>
      <c r="B49">
        <f t="shared" si="1"/>
        <v>10657</v>
      </c>
      <c r="C49" t="str">
        <f>[1]!RegExpSubstitute(MID(H49,FIND("- ",H49)+2,FIND("- ",H49,FIND("- ",H49)+1)-FIND("- ",H49)-2),"\&amp;quot\;.*\&amp;quot\;\W","")</f>
        <v xml:space="preserve">Beau Montgomery </v>
      </c>
      <c r="D49" t="str">
        <f>VLOOKUP(SUBSTITUTE(TRIM(MID(H49,FIND(",TPE:",H49)-3,3)),"- ",""),Index!D:E,2,FALSE)</f>
        <v>Cornerback</v>
      </c>
      <c r="E49" t="str">
        <f>MID(H49,FIND("(",H49)+1,FIND(")",H49)-FIND("(",H49)-1)</f>
        <v>S12</v>
      </c>
      <c r="F49" t="s">
        <v>372</v>
      </c>
      <c r="G49">
        <f t="shared" si="2"/>
        <v>439</v>
      </c>
      <c r="H49" t="s">
        <v>237</v>
      </c>
    </row>
    <row r="50" spans="1:8" x14ac:dyDescent="0.25">
      <c r="A50">
        <f t="shared" si="0"/>
        <v>1</v>
      </c>
      <c r="B50">
        <f t="shared" si="1"/>
        <v>10573</v>
      </c>
      <c r="C50" t="str">
        <f>[1]!RegExpSubstitute(MID(H50,FIND("- ",H50)+2,FIND("- ",H50,FIND("- ",H50)+1)-FIND("- ",H50)-2),"\&amp;quot\;.*\&amp;quot\;\W","")</f>
        <v xml:space="preserve">Logan Lejune </v>
      </c>
      <c r="D50" t="str">
        <f>VLOOKUP(SUBSTITUTE(TRIM(MID(H50,FIND(",TPE:",H50)-3,3)),"- ",""),Index!D:E,2,FALSE)</f>
        <v>Linebacker</v>
      </c>
      <c r="E50" t="str">
        <f>MID(H50,FIND("(",H50)+1,FIND(")",H50)-FIND("(",H50)-1)</f>
        <v>S12</v>
      </c>
      <c r="F50" t="s">
        <v>372</v>
      </c>
      <c r="G50">
        <f t="shared" si="2"/>
        <v>507</v>
      </c>
      <c r="H50" t="s">
        <v>238</v>
      </c>
    </row>
    <row r="51" spans="1:8" x14ac:dyDescent="0.25">
      <c r="A51">
        <f t="shared" si="0"/>
        <v>1</v>
      </c>
      <c r="B51">
        <f t="shared" si="1"/>
        <v>10550</v>
      </c>
      <c r="C51" t="str">
        <f>[1]!RegExpSubstitute(MID(H51,FIND("- ",H51)+2,FIND("- ",H51,FIND("- ",H51)+1)-FIND("- ",H51)-2),"\&amp;quot\;.*\&amp;quot\;\W","")</f>
        <v xml:space="preserve">Sam Garrad </v>
      </c>
      <c r="D51" t="str">
        <f>VLOOKUP(SUBSTITUTE(TRIM(MID(H51,FIND(",TPE:",H51)-3,3)),"- ",""),Index!D:E,2,FALSE)</f>
        <v>Defensive Line</v>
      </c>
      <c r="E51" t="str">
        <f>MID(H51,FIND("(",H51)+1,FIND(")",H51)-FIND("(",H51)-1)</f>
        <v>S12</v>
      </c>
      <c r="F51" t="s">
        <v>372</v>
      </c>
      <c r="G51">
        <f t="shared" si="2"/>
        <v>249</v>
      </c>
      <c r="H51" t="s">
        <v>109</v>
      </c>
    </row>
    <row r="52" spans="1:8" x14ac:dyDescent="0.25">
      <c r="A52">
        <f t="shared" si="0"/>
        <v>1</v>
      </c>
      <c r="B52">
        <f t="shared" si="1"/>
        <v>10524</v>
      </c>
      <c r="C52" t="str">
        <f>[1]!RegExpSubstitute(MID(H52,FIND("- ",H52)+2,FIND("- ",H52,FIND("- ",H52)+1)-FIND("- ",H52)-2),"\&amp;quot\;.*\&amp;quot\;\W","")</f>
        <v xml:space="preserve">James Bishop </v>
      </c>
      <c r="D52" t="str">
        <f>VLOOKUP(SUBSTITUTE(TRIM(MID(H52,FIND(",TPE:",H52)-3,3)),"- ",""),Index!D:E,2,FALSE)</f>
        <v>Wide Receiver</v>
      </c>
      <c r="E52" t="str">
        <f>MID(H52,FIND("(",H52)+1,FIND(")",H52)-FIND("(",H52)-1)</f>
        <v>S12</v>
      </c>
      <c r="F52" t="s">
        <v>372</v>
      </c>
      <c r="G52">
        <f t="shared" si="2"/>
        <v>694</v>
      </c>
      <c r="H52" t="s">
        <v>239</v>
      </c>
    </row>
    <row r="53" spans="1:8" x14ac:dyDescent="0.25">
      <c r="A53">
        <f t="shared" si="0"/>
        <v>1</v>
      </c>
      <c r="B53">
        <f t="shared" si="1"/>
        <v>9786</v>
      </c>
      <c r="C53" t="str">
        <f>[1]!RegExpSubstitute(MID(H53,FIND("- ",H53)+2,FIND("- ",H53,FIND("- ",H53)+1)-FIND("- ",H53)-2),"\&amp;quot\;.*\&amp;quot\;\W","")</f>
        <v xml:space="preserve">Devo Cansino </v>
      </c>
      <c r="D53" t="str">
        <f>VLOOKUP(SUBSTITUTE(TRIM(MID(H53,FIND(",TPE:",H53)-3,3)),"- ",""),Index!D:E,2,FALSE)</f>
        <v>Runningback</v>
      </c>
      <c r="E53" t="str">
        <f>MID(H53,FIND("(",H53)+1,FIND(")",H53)-FIND("(",H53)-1)</f>
        <v>S10</v>
      </c>
      <c r="F53" t="s">
        <v>372</v>
      </c>
      <c r="G53">
        <f t="shared" si="2"/>
        <v>325</v>
      </c>
      <c r="H53" t="s">
        <v>240</v>
      </c>
    </row>
    <row r="54" spans="1:8" x14ac:dyDescent="0.25">
      <c r="A54">
        <f t="shared" si="0"/>
        <v>1</v>
      </c>
      <c r="B54">
        <f t="shared" si="1"/>
        <v>9401</v>
      </c>
      <c r="C54" t="str">
        <f>[1]!RegExpSubstitute(MID(H54,FIND("- ",H54)+2,FIND("- ",H54,FIND("- ",H54)+1)-FIND("- ",H54)-2),"\&amp;quot\;.*\&amp;quot\;\W","")</f>
        <v xml:space="preserve">Odell Marrett </v>
      </c>
      <c r="D54" t="str">
        <f>VLOOKUP(SUBSTITUTE(TRIM(MID(H54,FIND(",TPE:",H54)-3,3)),"- ",""),Index!D:E,2,FALSE)</f>
        <v>Defensive Line</v>
      </c>
      <c r="E54" t="str">
        <f>MID(H54,FIND("(",H54)+1,FIND(")",H54)-FIND("(",H54)-1)</f>
        <v>S10</v>
      </c>
      <c r="F54" t="s">
        <v>372</v>
      </c>
      <c r="G54">
        <f t="shared" si="2"/>
        <v>97</v>
      </c>
      <c r="H54" t="s">
        <v>110</v>
      </c>
    </row>
    <row r="55" spans="1:8" x14ac:dyDescent="0.25">
      <c r="A55">
        <f t="shared" si="0"/>
        <v>1</v>
      </c>
      <c r="B55">
        <f t="shared" si="1"/>
        <v>9037</v>
      </c>
      <c r="C55" t="str">
        <f>[1]!RegExpSubstitute(MID(H55,FIND("- ",H55)+2,FIND("- ",H55,FIND("- ",H55)+1)-FIND("- ",H55)-2),"\&amp;quot\;.*\&amp;quot\;\W","")</f>
        <v xml:space="preserve">Oskar Ludvig </v>
      </c>
      <c r="D55" t="str">
        <f>VLOOKUP(SUBSTITUTE(TRIM(MID(H55,FIND(",TPE:",H55)-3,3)),"- ",""),Index!D:E,2,FALSE)</f>
        <v>Cornerback</v>
      </c>
      <c r="E55" t="str">
        <f>MID(H55,FIND("(",H55)+1,FIND(")",H55)-FIND("(",H55)-1)</f>
        <v>S9</v>
      </c>
      <c r="F55" t="s">
        <v>372</v>
      </c>
      <c r="G55">
        <f t="shared" si="2"/>
        <v>130</v>
      </c>
      <c r="H55" t="s">
        <v>111</v>
      </c>
    </row>
    <row r="56" spans="1:8" x14ac:dyDescent="0.25">
      <c r="A56">
        <f t="shared" si="0"/>
        <v>1</v>
      </c>
      <c r="B56">
        <f t="shared" si="1"/>
        <v>9009</v>
      </c>
      <c r="C56" t="str">
        <f>[1]!RegExpSubstitute(MID(H56,FIND("- ",H56)+2,FIND("- ",H56,FIND("- ",H56)+1)-FIND("- ",H56)-2),"\&amp;quot\;.*\&amp;quot\;\W","")</f>
        <v xml:space="preserve">Kyle Corbett </v>
      </c>
      <c r="D56" t="str">
        <f>VLOOKUP(SUBSTITUTE(TRIM(MID(H56,FIND(",TPE:",H56)-3,3)),"- ",""),Index!D:E,2,FALSE)</f>
        <v>Kicker</v>
      </c>
      <c r="E56" t="str">
        <f>MID(H56,FIND("(",H56)+1,FIND(")",H56)-FIND("(",H56)-1)</f>
        <v>S9</v>
      </c>
      <c r="F56" t="s">
        <v>372</v>
      </c>
      <c r="G56">
        <f t="shared" si="2"/>
        <v>104</v>
      </c>
      <c r="H56" t="s">
        <v>207</v>
      </c>
    </row>
    <row r="57" spans="1:8" x14ac:dyDescent="0.25">
      <c r="A57">
        <f t="shared" si="0"/>
        <v>1</v>
      </c>
      <c r="B57">
        <f t="shared" si="1"/>
        <v>8653</v>
      </c>
      <c r="C57" t="str">
        <f>[1]!RegExpSubstitute(MID(H57,FIND("- ",H57)+2,FIND("- ",H57,FIND("- ",H57)+1)-FIND("- ",H57)-2),"\&amp;quot\;.*\&amp;quot\;\W","")</f>
        <v xml:space="preserve">ShaDarrien LaMelllana </v>
      </c>
      <c r="D57" t="str">
        <f>VLOOKUP(SUBSTITUTE(TRIM(MID(H57,FIND(",TPE:",H57)-3,3)),"- ",""),Index!D:E,2,FALSE)</f>
        <v>Wide Receiver</v>
      </c>
      <c r="E57" t="str">
        <f>MID(H57,FIND("(",H57)+1,FIND(")",H57)-FIND("(",H57)-1)</f>
        <v>S9</v>
      </c>
      <c r="F57" t="s">
        <v>372</v>
      </c>
      <c r="G57">
        <f t="shared" si="2"/>
        <v>259</v>
      </c>
      <c r="H57" t="s">
        <v>112</v>
      </c>
    </row>
    <row r="58" spans="1:8" x14ac:dyDescent="0.25">
      <c r="A58">
        <f t="shared" si="0"/>
        <v>1</v>
      </c>
      <c r="B58">
        <f t="shared" si="1"/>
        <v>8524</v>
      </c>
      <c r="C58" t="str">
        <f>[1]!RegExpSubstitute(MID(H58,FIND("- ",H58)+2,FIND("- ",H58,FIND("- ",H58)+1)-FIND("- ",H58)-2),"\&amp;quot\;.*\&amp;quot\;\W","")</f>
        <v xml:space="preserve">Balthazar Crindy </v>
      </c>
      <c r="D58" t="str">
        <f>VLOOKUP(SUBSTITUTE(TRIM(MID(H58,FIND(",TPE:",H58)-3,3)),"- ",""),Index!D:E,2,FALSE)</f>
        <v>Tight End</v>
      </c>
      <c r="E58" t="str">
        <f>MID(H58,FIND("(",H58)+1,FIND(")",H58)-FIND("(",H58)-1)</f>
        <v>S8</v>
      </c>
      <c r="F58" t="s">
        <v>372</v>
      </c>
      <c r="G58">
        <f t="shared" si="2"/>
        <v>510</v>
      </c>
      <c r="H58" t="s">
        <v>206</v>
      </c>
    </row>
    <row r="59" spans="1:8" x14ac:dyDescent="0.25">
      <c r="A59">
        <f t="shared" si="0"/>
        <v>1</v>
      </c>
      <c r="B59">
        <f t="shared" si="1"/>
        <v>8396</v>
      </c>
      <c r="C59" t="str">
        <f>[1]!RegExpSubstitute(MID(H59,FIND("- ",H59)+2,FIND("- ",H59,FIND("- ",H59)+1)-FIND("- ",H59)-2),"\&amp;quot\;.*\&amp;quot\;\W","")</f>
        <v xml:space="preserve">Omar Wrong </v>
      </c>
      <c r="D59" t="str">
        <f>VLOOKUP(SUBSTITUTE(TRIM(MID(H59,FIND(",TPE:",H59)-3,3)),"- ",""),Index!D:E,2,FALSE)</f>
        <v>Defensive Line</v>
      </c>
      <c r="E59" t="str">
        <f>MID(H59,FIND("(",H59)+1,FIND(")",H59)-FIND("(",H59)-1)</f>
        <v>S8</v>
      </c>
      <c r="F59" t="s">
        <v>372</v>
      </c>
      <c r="G59">
        <f t="shared" si="2"/>
        <v>146</v>
      </c>
      <c r="H59" t="s">
        <v>241</v>
      </c>
    </row>
    <row r="60" spans="1:8" x14ac:dyDescent="0.25">
      <c r="A60">
        <f t="shared" si="0"/>
        <v>1</v>
      </c>
      <c r="B60">
        <f t="shared" si="1"/>
        <v>8061</v>
      </c>
      <c r="C60" t="str">
        <f>[1]!RegExpSubstitute(MID(H60,FIND("- ",H60)+2,FIND("- ",H60,FIND("- ",H60)+1)-FIND("- ",H60)-2),"\&amp;quot\;.*\&amp;quot\;\W","")</f>
        <v xml:space="preserve">Viggo Squanch </v>
      </c>
      <c r="D60" t="str">
        <f>VLOOKUP(SUBSTITUTE(TRIM(MID(H60,FIND(",TPE:",H60)-3,3)),"- ",""),Index!D:E,2,FALSE)</f>
        <v>Wide Receiver</v>
      </c>
      <c r="E60" t="str">
        <f>MID(H60,FIND("(",H60)+1,FIND(")",H60)-FIND("(",H60)-1)</f>
        <v>S8</v>
      </c>
      <c r="F60" t="s">
        <v>372</v>
      </c>
      <c r="G60">
        <f t="shared" si="2"/>
        <v>789</v>
      </c>
      <c r="H60" t="s">
        <v>242</v>
      </c>
    </row>
    <row r="61" spans="1:8" x14ac:dyDescent="0.25">
      <c r="A61">
        <f t="shared" si="0"/>
        <v>1</v>
      </c>
      <c r="B61">
        <f t="shared" si="1"/>
        <v>7561</v>
      </c>
      <c r="C61" t="str">
        <f>[1]!RegExpSubstitute(MID(H61,FIND("- ",H61)+2,FIND("- ",H61,FIND("- ",H61)+1)-FIND("- ",H61)-2),"\&amp;quot\;.*\&amp;quot\;\W","")</f>
        <v xml:space="preserve">Mark Grau </v>
      </c>
      <c r="D61" t="str">
        <f>VLOOKUP(SUBSTITUTE(TRIM(MID(H61,FIND(",TPE:",H61)-3,3)),"- ",""),Index!D:E,2,FALSE)</f>
        <v>Runningback</v>
      </c>
      <c r="E61" t="str">
        <f>MID(H61,FIND("(",H61)+1,FIND(")",H61)-FIND("(",H61)-1)</f>
        <v>S7</v>
      </c>
      <c r="F61" t="s">
        <v>372</v>
      </c>
      <c r="G61">
        <f t="shared" si="2"/>
        <v>339</v>
      </c>
      <c r="H61" t="s">
        <v>113</v>
      </c>
    </row>
    <row r="62" spans="1:8" x14ac:dyDescent="0.25">
      <c r="A62">
        <f t="shared" si="0"/>
        <v>1</v>
      </c>
      <c r="B62">
        <f t="shared" si="1"/>
        <v>7263</v>
      </c>
      <c r="C62" t="str">
        <f>[1]!RegExpSubstitute(MID(H62,FIND("- ",H62)+2,FIND("- ",H62,FIND("- ",H62)+1)-FIND("- ",H62)-2),"\&amp;quot\;.*\&amp;quot\;\W","")</f>
        <v xml:space="preserve">Alvin Chipmunk </v>
      </c>
      <c r="D62" t="str">
        <f>VLOOKUP(SUBSTITUTE(TRIM(MID(H62,FIND(",TPE:",H62)-3,3)),"- ",""),Index!D:E,2,FALSE)</f>
        <v>Tight End</v>
      </c>
      <c r="E62" t="str">
        <f>MID(H62,FIND("(",H62)+1,FIND(")",H62)-FIND("(",H62)-1)</f>
        <v>S7</v>
      </c>
      <c r="F62" t="s">
        <v>372</v>
      </c>
      <c r="G62">
        <f t="shared" si="2"/>
        <v>161</v>
      </c>
      <c r="H62" t="s">
        <v>114</v>
      </c>
    </row>
    <row r="63" spans="1:8" x14ac:dyDescent="0.25">
      <c r="A63">
        <f t="shared" si="0"/>
        <v>1</v>
      </c>
      <c r="B63">
        <f t="shared" si="1"/>
        <v>7221</v>
      </c>
      <c r="C63" t="str">
        <f>[1]!RegExpSubstitute(MID(H63,FIND("- ",H63)+2,FIND("- ",H63,FIND("- ",H63)+1)-FIND("- ",H63)-2),"\&amp;quot\;.*\&amp;quot\;\W","")</f>
        <v xml:space="preserve">Howard Miller </v>
      </c>
      <c r="D63" t="str">
        <f>VLOOKUP(SUBSTITUTE(TRIM(MID(H63,FIND(",TPE:",H63)-3,3)),"- ",""),Index!D:E,2,FALSE)</f>
        <v>Wide Receiver</v>
      </c>
      <c r="E63" t="str">
        <f>MID(H63,FIND("(",H63)+1,FIND(")",H63)-FIND("(",H63)-1)</f>
        <v>S7</v>
      </c>
      <c r="F63" t="s">
        <v>372</v>
      </c>
      <c r="G63">
        <f t="shared" si="2"/>
        <v>984</v>
      </c>
      <c r="H63" t="s">
        <v>115</v>
      </c>
    </row>
    <row r="64" spans="1:8" x14ac:dyDescent="0.25">
      <c r="A64">
        <f t="shared" si="0"/>
        <v>1</v>
      </c>
      <c r="B64">
        <f t="shared" si="1"/>
        <v>6405</v>
      </c>
      <c r="C64" t="str">
        <f>[1]!RegExpSubstitute(MID(H64,FIND("- ",H64)+2,FIND("- ",H64,FIND("- ",H64)+1)-FIND("- ",H64)-2),"\&amp;quot\;.*\&amp;quot\;\W","")</f>
        <v xml:space="preserve">Brian Mills </v>
      </c>
      <c r="D64" t="str">
        <f>VLOOKUP(SUBSTITUTE(TRIM(MID(H64,FIND(",TPE:",H64)-3,3)),"- ",""),Index!D:E,2,FALSE)</f>
        <v>Linebacker</v>
      </c>
      <c r="E64" t="str">
        <f>MID(H64,FIND("(",H64)+1,FIND(")",H64)-FIND("(",H64)-1)</f>
        <v>S6</v>
      </c>
      <c r="F64" t="s">
        <v>372</v>
      </c>
      <c r="G64">
        <f t="shared" si="2"/>
        <v>579</v>
      </c>
      <c r="H64" t="s">
        <v>116</v>
      </c>
    </row>
    <row r="65" spans="1:8" x14ac:dyDescent="0.25">
      <c r="A65">
        <f t="shared" si="0"/>
        <v>1</v>
      </c>
      <c r="B65">
        <f t="shared" si="1"/>
        <v>6395</v>
      </c>
      <c r="C65" t="str">
        <f>[1]!RegExpSubstitute(MID(H65,FIND("- ",H65)+2,FIND("- ",H65,FIND("- ",H65)+1)-FIND("- ",H65)-2),"\&amp;quot\;.*\&amp;quot\;\W","")</f>
        <v xml:space="preserve">Micycle McCormick </v>
      </c>
      <c r="D65" t="str">
        <f>VLOOKUP(SUBSTITUTE(TRIM(MID(H65,FIND(",TPE:",H65)-3,3)),"- ",""),Index!D:E,2,FALSE)</f>
        <v>Quarterback</v>
      </c>
      <c r="E65" t="str">
        <f>MID(H65,FIND("(",H65)+1,FIND(")",H65)-FIND("(",H65)-1)</f>
        <v>S6</v>
      </c>
      <c r="F65" t="s">
        <v>372</v>
      </c>
      <c r="G65">
        <f t="shared" si="2"/>
        <v>943</v>
      </c>
      <c r="H65" t="s">
        <v>243</v>
      </c>
    </row>
    <row r="66" spans="1:8" x14ac:dyDescent="0.25">
      <c r="A66">
        <f t="shared" ref="A66:A129" si="3">COUNTIF($B$2:$B$375,B66)</f>
        <v>1</v>
      </c>
      <c r="B66">
        <f t="shared" si="1"/>
        <v>5621</v>
      </c>
      <c r="C66" t="str">
        <f>[1]!RegExpSubstitute(MID(H66,FIND("- ",H66)+2,FIND("- ",H66,FIND("- ",H66)+1)-FIND("- ",H66)-2),"\&amp;quot\;.*\&amp;quot\;\W","")</f>
        <v xml:space="preserve">Michael Tillman </v>
      </c>
      <c r="D66" t="str">
        <f>VLOOKUP(SUBSTITUTE(TRIM(MID(H66,FIND(",TPE:",H66)-3,3)),"- ",""),Index!D:E,2,FALSE)</f>
        <v>Safety</v>
      </c>
      <c r="E66" t="str">
        <f>MID(H66,FIND("(",H66)+1,FIND(")",H66)-FIND("(",H66)-1)</f>
        <v>S5</v>
      </c>
      <c r="F66" t="s">
        <v>372</v>
      </c>
      <c r="G66">
        <f t="shared" si="2"/>
        <v>238</v>
      </c>
      <c r="H66" t="s">
        <v>117</v>
      </c>
    </row>
    <row r="67" spans="1:8" x14ac:dyDescent="0.25">
      <c r="A67">
        <f t="shared" si="3"/>
        <v>1</v>
      </c>
      <c r="B67">
        <f t="shared" ref="B67:B130" si="4">[1]!Numerize(MID(H67,FIND("=",H67),10))+0</f>
        <v>4656</v>
      </c>
      <c r="C67" t="str">
        <f>[1]!RegExpSubstitute(MID(H67,FIND("- ",H67)+2,FIND("- ",H67,FIND("- ",H67)+1)-FIND("- ",H67)-2),"\&amp;quot\;.*\&amp;quot\;\W","")</f>
        <v xml:space="preserve">Haruki Ishigawa </v>
      </c>
      <c r="D67" t="str">
        <f>VLOOKUP(SUBSTITUTE(TRIM(MID(H67,FIND(",TPE:",H67)-3,3)),"- ",""),Index!D:E,2,FALSE)</f>
        <v>Defensive Line</v>
      </c>
      <c r="E67" t="str">
        <f>MID(H67,FIND("(",H67)+1,FIND(")",H67)-FIND("(",H67)-1)</f>
        <v>S4</v>
      </c>
      <c r="F67" t="s">
        <v>372</v>
      </c>
      <c r="G67">
        <f t="shared" ref="G67:G130" si="5">MID(H67,FIND("TPE: ",H67)+5,FIND(", ",H67,FIND("TPE: ",H67))-FIND("TPE: ",H67)-5)+0</f>
        <v>224</v>
      </c>
      <c r="H67" t="s">
        <v>118</v>
      </c>
    </row>
    <row r="68" spans="1:8" x14ac:dyDescent="0.25">
      <c r="A68">
        <f t="shared" si="3"/>
        <v>1</v>
      </c>
      <c r="B68">
        <f t="shared" si="4"/>
        <v>11658</v>
      </c>
      <c r="C68" t="str">
        <f>[1]!RegExpSubstitute(MID(H68,FIND("- ",H68)+2,FIND("- ",H68,FIND("- ",H68)+1)-FIND("- ",H68)-2),"\&amp;quot\;.*\&amp;quot\;\W","")</f>
        <v xml:space="preserve">Maxwell Beard </v>
      </c>
      <c r="D68" t="str">
        <f>VLOOKUP(SUBSTITUTE(TRIM(MID(H68,FIND(",TPE:",H68)-3,3)),"- ",""),Index!D:E,2,FALSE)</f>
        <v>Defensive Line</v>
      </c>
      <c r="E68" t="str">
        <f>MID(H68,FIND("(",H68)+1,FIND(")",H68)-FIND("(",H68)-1)</f>
        <v>S14</v>
      </c>
      <c r="F68" t="s">
        <v>373</v>
      </c>
      <c r="G68">
        <f t="shared" si="5"/>
        <v>187</v>
      </c>
      <c r="H68" t="s">
        <v>244</v>
      </c>
    </row>
    <row r="69" spans="1:8" x14ac:dyDescent="0.25">
      <c r="A69">
        <f t="shared" si="3"/>
        <v>1</v>
      </c>
      <c r="B69">
        <f t="shared" si="4"/>
        <v>11533</v>
      </c>
      <c r="C69" t="str">
        <f>[1]!RegExpSubstitute(MID(H69,FIND("- ",H69)+2,FIND("- ",H69,FIND("- ",H69)+1)-FIND("- ",H69)-2),"\&amp;quot\;.*\&amp;quot\;\W","")</f>
        <v xml:space="preserve">Corwin Davenport </v>
      </c>
      <c r="D69" t="str">
        <f>VLOOKUP(SUBSTITUTE(TRIM(MID(H69,FIND(",TPE:",H69)-3,3)),"- ",""),Index!D:E,2,FALSE)</f>
        <v>Runningback</v>
      </c>
      <c r="E69" t="str">
        <f>MID(H69,FIND("(",H69)+1,FIND(")",H69)-FIND("(",H69)-1)</f>
        <v>S13</v>
      </c>
      <c r="F69" t="s">
        <v>373</v>
      </c>
      <c r="G69">
        <f t="shared" si="5"/>
        <v>155</v>
      </c>
      <c r="H69" t="s">
        <v>166</v>
      </c>
    </row>
    <row r="70" spans="1:8" x14ac:dyDescent="0.25">
      <c r="A70">
        <f t="shared" si="3"/>
        <v>1</v>
      </c>
      <c r="B70">
        <f t="shared" si="4"/>
        <v>11082</v>
      </c>
      <c r="C70" t="str">
        <f>[1]!RegExpSubstitute(MID(H70,FIND("- ",H70)+2,FIND("- ",H70,FIND("- ",H70)+1)-FIND("- ",H70)-2),"\&amp;quot\;.*\&amp;quot\;\W","")</f>
        <v xml:space="preserve">Blake McCargue </v>
      </c>
      <c r="D70" t="str">
        <f>VLOOKUP(SUBSTITUTE(TRIM(MID(H70,FIND(",TPE:",H70)-3,3)),"- ",""),Index!D:E,2,FALSE)</f>
        <v>Offensive Line</v>
      </c>
      <c r="E70" t="str">
        <f>MID(H70,FIND("(",H70)+1,FIND(")",H70)-FIND("(",H70)-1)</f>
        <v>S13</v>
      </c>
      <c r="F70" t="s">
        <v>373</v>
      </c>
      <c r="G70">
        <f t="shared" si="5"/>
        <v>143</v>
      </c>
      <c r="H70" t="s">
        <v>210</v>
      </c>
    </row>
    <row r="71" spans="1:8" x14ac:dyDescent="0.25">
      <c r="A71">
        <f t="shared" si="3"/>
        <v>1</v>
      </c>
      <c r="B71">
        <f t="shared" si="4"/>
        <v>10864</v>
      </c>
      <c r="C71" t="str">
        <f>[1]!RegExpSubstitute(MID(H71,FIND("- ",H71)+2,FIND("- ",H71,FIND("- ",H71)+1)-FIND("- ",H71)-2),"\&amp;quot\;.*\&amp;quot\;\W","")</f>
        <v xml:space="preserve">Fast Boija </v>
      </c>
      <c r="D71" t="str">
        <f>VLOOKUP(SUBSTITUTE(TRIM(MID(H71,FIND(",TPE:",H71)-3,3)),"- ",""),Index!D:E,2,FALSE)</f>
        <v>Runningback</v>
      </c>
      <c r="E71" t="str">
        <f>MID(H71,FIND("(",H71)+1,FIND(")",H71)-FIND("(",H71)-1)</f>
        <v>S12</v>
      </c>
      <c r="F71" t="s">
        <v>373</v>
      </c>
      <c r="G71">
        <f t="shared" si="5"/>
        <v>248</v>
      </c>
      <c r="H71" t="s">
        <v>245</v>
      </c>
    </row>
    <row r="72" spans="1:8" x14ac:dyDescent="0.25">
      <c r="A72">
        <f t="shared" si="3"/>
        <v>1</v>
      </c>
      <c r="B72">
        <f t="shared" si="4"/>
        <v>10638</v>
      </c>
      <c r="C72" t="str">
        <f>[1]!RegExpSubstitute(MID(H72,FIND("- ",H72)+2,FIND("- ",H72,FIND("- ",H72)+1)-FIND("- ",H72)-2),"\&amp;quot\;.*\&amp;quot\;\W","")</f>
        <v xml:space="preserve">Luke Smyles </v>
      </c>
      <c r="D72" t="str">
        <f>VLOOKUP(SUBSTITUTE(TRIM(MID(H72,FIND(",TPE:",H72)-3,3)),"- ",""),Index!D:E,2,FALSE)</f>
        <v>Defensive Line</v>
      </c>
      <c r="E72" t="str">
        <f>MID(H72,FIND("(",H72)+1,FIND(")",H72)-FIND("(",H72)-1)</f>
        <v>S12</v>
      </c>
      <c r="F72" t="s">
        <v>373</v>
      </c>
      <c r="G72">
        <f t="shared" si="5"/>
        <v>414</v>
      </c>
      <c r="H72" t="s">
        <v>168</v>
      </c>
    </row>
    <row r="73" spans="1:8" x14ac:dyDescent="0.25">
      <c r="A73">
        <f t="shared" si="3"/>
        <v>1</v>
      </c>
      <c r="B73">
        <f t="shared" si="4"/>
        <v>10529</v>
      </c>
      <c r="C73" t="str">
        <f>[1]!RegExpSubstitute(MID(H73,FIND("- ",H73)+2,FIND("- ",H73,FIND("- ",H73)+1)-FIND("- ",H73)-2),"\&amp;quot\;.*\&amp;quot\;\W","")</f>
        <v xml:space="preserve">Ikaika Kalilimoku </v>
      </c>
      <c r="D73" t="str">
        <f>VLOOKUP(SUBSTITUTE(TRIM(MID(H73,FIND(",TPE:",H73)-3,3)),"- ",""),Index!D:E,2,FALSE)</f>
        <v>Defensive Line</v>
      </c>
      <c r="E73" t="str">
        <f>MID(H73,FIND("(",H73)+1,FIND(")",H73)-FIND("(",H73)-1)</f>
        <v>S12</v>
      </c>
      <c r="F73" t="s">
        <v>373</v>
      </c>
      <c r="G73">
        <f t="shared" si="5"/>
        <v>228</v>
      </c>
      <c r="H73" t="s">
        <v>169</v>
      </c>
    </row>
    <row r="74" spans="1:8" x14ac:dyDescent="0.25">
      <c r="A74">
        <f t="shared" si="3"/>
        <v>1</v>
      </c>
      <c r="B74">
        <f t="shared" si="4"/>
        <v>10354</v>
      </c>
      <c r="C74" t="str">
        <f>[1]!RegExpSubstitute(MID(H74,FIND("- ",H74)+2,FIND("- ",H74,FIND("- ",H74)+1)-FIND("- ",H74)-2),"\&amp;quot\;.*\&amp;quot\;\W","")</f>
        <v xml:space="preserve">Johnson Cox III </v>
      </c>
      <c r="D74" t="str">
        <f>VLOOKUP(SUBSTITUTE(TRIM(MID(H74,FIND(",TPE:",H74)-3,3)),"- ",""),Index!D:E,2,FALSE)</f>
        <v>Cornerback</v>
      </c>
      <c r="E74" t="str">
        <f>MID(H74,FIND("(",H74)+1,FIND(")",H74)-FIND("(",H74)-1)</f>
        <v>S11</v>
      </c>
      <c r="F74" t="s">
        <v>373</v>
      </c>
      <c r="G74">
        <f t="shared" si="5"/>
        <v>258</v>
      </c>
      <c r="H74" t="s">
        <v>170</v>
      </c>
    </row>
    <row r="75" spans="1:8" x14ac:dyDescent="0.25">
      <c r="A75">
        <f t="shared" si="3"/>
        <v>1</v>
      </c>
      <c r="B75">
        <f t="shared" si="4"/>
        <v>10256</v>
      </c>
      <c r="C75" t="str">
        <f>[1]!RegExpSubstitute(MID(H75,FIND("- ",H75)+2,FIND("- ",H75,FIND("- ",H75)+1)-FIND("- ",H75)-2),"\&amp;quot\;.*\&amp;quot\;\W","")</f>
        <v xml:space="preserve">Roger Batoff </v>
      </c>
      <c r="D75" t="str">
        <f>VLOOKUP(SUBSTITUTE(TRIM(MID(H75,FIND(",TPE:",H75)-3,3)),"- ",""),Index!D:E,2,FALSE)</f>
        <v>Wide Receiver</v>
      </c>
      <c r="E75" t="str">
        <f>MID(H75,FIND("(",H75)+1,FIND(")",H75)-FIND("(",H75)-1)</f>
        <v>S11</v>
      </c>
      <c r="F75" t="s">
        <v>373</v>
      </c>
      <c r="G75">
        <f t="shared" si="5"/>
        <v>386</v>
      </c>
      <c r="H75" t="s">
        <v>171</v>
      </c>
    </row>
    <row r="76" spans="1:8" x14ac:dyDescent="0.25">
      <c r="A76">
        <f t="shared" si="3"/>
        <v>1</v>
      </c>
      <c r="B76">
        <f t="shared" si="4"/>
        <v>10126</v>
      </c>
      <c r="C76" t="str">
        <f>[1]!RegExpSubstitute(MID(H76,FIND("- ",H76)+2,FIND("- ",H76,FIND("- ",H76)+1)-FIND("- ",H76)-2),"\&amp;quot\;.*\&amp;quot\;\W","")</f>
        <v xml:space="preserve">Kulture Fulture </v>
      </c>
      <c r="D76" t="str">
        <f>VLOOKUP(SUBSTITUTE(TRIM(MID(H76,FIND(",TPE:",H76)-3,3)),"- ",""),Index!D:E,2,FALSE)</f>
        <v>Kicker</v>
      </c>
      <c r="E76" t="str">
        <f>MID(H76,FIND("(",H76)+1,FIND(")",H76)-FIND("(",H76)-1)</f>
        <v>S11</v>
      </c>
      <c r="F76" t="s">
        <v>373</v>
      </c>
      <c r="G76">
        <f t="shared" si="5"/>
        <v>604</v>
      </c>
      <c r="H76" t="s">
        <v>246</v>
      </c>
    </row>
    <row r="77" spans="1:8" x14ac:dyDescent="0.25">
      <c r="A77">
        <f t="shared" si="3"/>
        <v>1</v>
      </c>
      <c r="B77">
        <f t="shared" si="4"/>
        <v>10121</v>
      </c>
      <c r="C77" t="str">
        <f>[1]!RegExpSubstitute(MID(H77,FIND("- ",H77)+2,FIND("- ",H77,FIND("- ",H77)+1)-FIND("- ",H77)-2),"\&amp;quot\;.*\&amp;quot\;\W","")</f>
        <v xml:space="preserve">Curtis Saul </v>
      </c>
      <c r="D77" t="str">
        <f>VLOOKUP(SUBSTITUTE(TRIM(MID(H77,FIND(",TPE:",H77)-3,3)),"- ",""),Index!D:E,2,FALSE)</f>
        <v>Defensive Line</v>
      </c>
      <c r="E77" t="str">
        <f>MID(H77,FIND("(",H77)+1,FIND(")",H77)-FIND("(",H77)-1)</f>
        <v>S11</v>
      </c>
      <c r="F77" t="s">
        <v>373</v>
      </c>
      <c r="G77">
        <f t="shared" si="5"/>
        <v>453</v>
      </c>
      <c r="H77" t="s">
        <v>172</v>
      </c>
    </row>
    <row r="78" spans="1:8" x14ac:dyDescent="0.25">
      <c r="A78">
        <f t="shared" si="3"/>
        <v>1</v>
      </c>
      <c r="B78">
        <f t="shared" si="4"/>
        <v>10018</v>
      </c>
      <c r="C78" t="str">
        <f>[1]!RegExpSubstitute(MID(H78,FIND("- ",H78)+2,FIND("- ",H78,FIND("- ",H78)+1)-FIND("- ",H78)-2),"\&amp;quot\;.*\&amp;quot\;\W","")</f>
        <v xml:space="preserve">K.J. Becker </v>
      </c>
      <c r="D78" t="str">
        <f>VLOOKUP(SUBSTITUTE(TRIM(MID(H78,FIND(",TPE:",H78)-3,3)),"- ",""),Index!D:E,2,FALSE)</f>
        <v>Linebacker</v>
      </c>
      <c r="E78" t="str">
        <f>MID(H78,FIND("(",H78)+1,FIND(")",H78)-FIND("(",H78)-1)</f>
        <v>S11</v>
      </c>
      <c r="F78" t="s">
        <v>373</v>
      </c>
      <c r="G78">
        <f t="shared" si="5"/>
        <v>629</v>
      </c>
      <c r="H78" t="s">
        <v>247</v>
      </c>
    </row>
    <row r="79" spans="1:8" x14ac:dyDescent="0.25">
      <c r="A79">
        <f t="shared" si="3"/>
        <v>1</v>
      </c>
      <c r="B79">
        <f t="shared" si="4"/>
        <v>10004</v>
      </c>
      <c r="C79" t="str">
        <f>[1]!RegExpSubstitute(MID(H79,FIND("- ",H79)+2,FIND("- ",H79,FIND("- ",H79)+1)-FIND("- ",H79)-2),"\&amp;quot\;.*\&amp;quot\;\W","")</f>
        <v xml:space="preserve">Lennox Garnett </v>
      </c>
      <c r="D79" t="str">
        <f>VLOOKUP(SUBSTITUTE(TRIM(MID(H79,FIND(",TPE:",H79)-3,3)),"- ",""),Index!D:E,2,FALSE)</f>
        <v>Safety</v>
      </c>
      <c r="E79" t="str">
        <f>MID(H79,FIND("(",H79)+1,FIND(")",H79)-FIND("(",H79)-1)</f>
        <v>S11</v>
      </c>
      <c r="F79" t="s">
        <v>373</v>
      </c>
      <c r="G79">
        <f t="shared" si="5"/>
        <v>800</v>
      </c>
      <c r="H79" t="s">
        <v>173</v>
      </c>
    </row>
    <row r="80" spans="1:8" x14ac:dyDescent="0.25">
      <c r="A80">
        <f t="shared" si="3"/>
        <v>1</v>
      </c>
      <c r="B80">
        <f t="shared" si="4"/>
        <v>9820</v>
      </c>
      <c r="C80" t="str">
        <f>[1]!RegExpSubstitute(MID(H80,FIND("- ",H80)+2,FIND("- ",H80,FIND("- ",H80)+1)-FIND("- ",H80)-2),"\&amp;quot\;.*\&amp;quot\;\W","")</f>
        <v xml:space="preserve">Frank Fort </v>
      </c>
      <c r="D80" t="str">
        <f>VLOOKUP(SUBSTITUTE(TRIM(MID(H80,FIND(",TPE:",H80)-3,3)),"- ",""),Index!D:E,2,FALSE)</f>
        <v>Safety</v>
      </c>
      <c r="E80" t="str">
        <f>MID(H80,FIND("(",H80)+1,FIND(")",H80)-FIND("(",H80)-1)</f>
        <v>S10</v>
      </c>
      <c r="F80" t="s">
        <v>373</v>
      </c>
      <c r="G80">
        <f t="shared" si="5"/>
        <v>96</v>
      </c>
      <c r="H80" t="s">
        <v>174</v>
      </c>
    </row>
    <row r="81" spans="1:8" x14ac:dyDescent="0.25">
      <c r="A81">
        <f t="shared" si="3"/>
        <v>1</v>
      </c>
      <c r="B81">
        <f t="shared" si="4"/>
        <v>9512</v>
      </c>
      <c r="C81" t="str">
        <f>[1]!RegExpSubstitute(MID(H81,FIND("- ",H81)+2,FIND("- ",H81,FIND("- ",H81)+1)-FIND("- ",H81)-2),"\&amp;quot\;.*\&amp;quot\;\W","")</f>
        <v xml:space="preserve">Jordan von Matt </v>
      </c>
      <c r="D81" t="str">
        <f>VLOOKUP(SUBSTITUTE(TRIM(MID(H81,FIND(",TPE:",H81)-3,3)),"- ",""),Index!D:E,2,FALSE)</f>
        <v>Wide Receiver</v>
      </c>
      <c r="E81" t="str">
        <f>MID(H81,FIND("(",H81)+1,FIND(")",H81)-FIND("(",H81)-1)</f>
        <v>S10</v>
      </c>
      <c r="F81" t="s">
        <v>373</v>
      </c>
      <c r="G81">
        <f t="shared" si="5"/>
        <v>734</v>
      </c>
      <c r="H81" t="s">
        <v>248</v>
      </c>
    </row>
    <row r="82" spans="1:8" x14ac:dyDescent="0.25">
      <c r="A82">
        <f t="shared" si="3"/>
        <v>1</v>
      </c>
      <c r="B82">
        <f t="shared" si="4"/>
        <v>9406</v>
      </c>
      <c r="C82" t="str">
        <f>[1]!RegExpSubstitute(MID(H82,FIND("- ",H82)+2,FIND("- ",H82,FIND("- ",H82)+1)-FIND("- ",H82)-2),"\&amp;quot\;.*\&amp;quot\;\W","")</f>
        <v xml:space="preserve">Ryland Morley </v>
      </c>
      <c r="D82" t="str">
        <f>VLOOKUP(SUBSTITUTE(TRIM(MID(H82,FIND(",TPE:",H82)-3,3)),"- ",""),Index!D:E,2,FALSE)</f>
        <v>Defensive Line</v>
      </c>
      <c r="E82" t="str">
        <f>MID(H82,FIND("(",H82)+1,FIND(")",H82)-FIND("(",H82)-1)</f>
        <v>S10</v>
      </c>
      <c r="F82" t="s">
        <v>373</v>
      </c>
      <c r="G82">
        <f t="shared" si="5"/>
        <v>90</v>
      </c>
      <c r="H82" t="s">
        <v>175</v>
      </c>
    </row>
    <row r="83" spans="1:8" x14ac:dyDescent="0.25">
      <c r="A83">
        <f t="shared" si="3"/>
        <v>1</v>
      </c>
      <c r="B83">
        <f t="shared" si="4"/>
        <v>9229</v>
      </c>
      <c r="C83" t="str">
        <f>[1]!RegExpSubstitute(MID(H83,FIND("- ",H83)+2,FIND("- ",H83,FIND("- ",H83)+1)-FIND("- ",H83)-2),"\&amp;quot\;.*\&amp;quot\;\W","")</f>
        <v xml:space="preserve">Lucari Felix </v>
      </c>
      <c r="D83" t="str">
        <f>VLOOKUP(SUBSTITUTE(TRIM(MID(H83,FIND(",TPE:",H83)-3,3)),"- ",""),Index!D:E,2,FALSE)</f>
        <v>Cornerback</v>
      </c>
      <c r="E83" t="str">
        <f>MID(H83,FIND("(",H83)+1,FIND(")",H83)-FIND("(",H83)-1)</f>
        <v>S10</v>
      </c>
      <c r="F83" t="s">
        <v>373</v>
      </c>
      <c r="G83">
        <f t="shared" si="5"/>
        <v>468</v>
      </c>
      <c r="H83" t="s">
        <v>176</v>
      </c>
    </row>
    <row r="84" spans="1:8" x14ac:dyDescent="0.25">
      <c r="A84">
        <f t="shared" si="3"/>
        <v>1</v>
      </c>
      <c r="B84">
        <f t="shared" si="4"/>
        <v>9220</v>
      </c>
      <c r="C84" t="str">
        <f>[1]!RegExpSubstitute(MID(H84,FIND("- ",H84)+2,FIND("- ",H84,FIND("- ",H84)+1)-FIND("- ",H84)-2),"\&amp;quot\;.*\&amp;quot\;\W","")</f>
        <v xml:space="preserve">Adriana Falconi </v>
      </c>
      <c r="D84" t="str">
        <f>VLOOKUP(SUBSTITUTE(TRIM(MID(H84,FIND(",TPE:",H84)-3,3)),"- ",""),Index!D:E,2,FALSE)</f>
        <v>Quarterback</v>
      </c>
      <c r="E84" t="str">
        <f>MID(H84,FIND("(",H84)+1,FIND(")",H84)-FIND("(",H84)-1)</f>
        <v>S10</v>
      </c>
      <c r="F84" t="s">
        <v>373</v>
      </c>
      <c r="G84">
        <f t="shared" si="5"/>
        <v>924</v>
      </c>
      <c r="H84" t="s">
        <v>249</v>
      </c>
    </row>
    <row r="85" spans="1:8" x14ac:dyDescent="0.25">
      <c r="A85">
        <f t="shared" si="3"/>
        <v>1</v>
      </c>
      <c r="B85">
        <f t="shared" si="4"/>
        <v>8553</v>
      </c>
      <c r="C85" t="str">
        <f>[1]!RegExpSubstitute(MID(H85,FIND("- ",H85)+2,FIND("- ",H85,FIND("- ",H85)+1)-FIND("- ",H85)-2),"\&amp;quot\;.*\&amp;quot\;\W","")</f>
        <v xml:space="preserve">Bucky Barnes </v>
      </c>
      <c r="D85" t="str">
        <f>VLOOKUP(SUBSTITUTE(TRIM(MID(H85,FIND(",TPE:",H85)-3,3)),"- ",""),Index!D:E,2,FALSE)</f>
        <v>Safety</v>
      </c>
      <c r="E85" t="str">
        <f>MID(H85,FIND("(",H85)+1,FIND(")",H85)-FIND("(",H85)-1)</f>
        <v>S9</v>
      </c>
      <c r="F85" t="s">
        <v>373</v>
      </c>
      <c r="G85">
        <f t="shared" si="5"/>
        <v>1020</v>
      </c>
      <c r="H85" t="s">
        <v>250</v>
      </c>
    </row>
    <row r="86" spans="1:8" x14ac:dyDescent="0.25">
      <c r="A86">
        <f t="shared" si="3"/>
        <v>1</v>
      </c>
      <c r="B86">
        <f t="shared" si="4"/>
        <v>6687</v>
      </c>
      <c r="C86" t="str">
        <f>[1]!RegExpSubstitute(MID(H86,FIND("- ",H86)+2,FIND("- ",H86,FIND("- ",H86)+1)-FIND("- ",H86)-2),"\&amp;quot\;.*\&amp;quot\;\W","")</f>
        <v xml:space="preserve">Carter Bush </v>
      </c>
      <c r="D86" t="str">
        <f>VLOOKUP(SUBSTITUTE(TRIM(MID(H86,FIND(",TPE:",H86)-3,3)),"- ",""),Index!D:E,2,FALSE)</f>
        <v>Wide Receiver</v>
      </c>
      <c r="E86" t="str">
        <f>MID(H86,FIND("(",H86)+1,FIND(")",H86)-FIND("(",H86)-1)</f>
        <v>S6</v>
      </c>
      <c r="F86" t="s">
        <v>373</v>
      </c>
      <c r="G86">
        <f t="shared" si="5"/>
        <v>501</v>
      </c>
      <c r="H86" t="s">
        <v>177</v>
      </c>
    </row>
    <row r="87" spans="1:8" x14ac:dyDescent="0.25">
      <c r="A87">
        <f t="shared" si="3"/>
        <v>1</v>
      </c>
      <c r="B87">
        <f t="shared" si="4"/>
        <v>11946</v>
      </c>
      <c r="C87" t="str">
        <f>[1]!RegExpSubstitute(MID(H87,FIND("- ",H87)+2,FIND("- ",H87,FIND("- ",H87)+1)-FIND("- ",H87)-2),"\&amp;quot\;.*\&amp;quot\;\W","")</f>
        <v xml:space="preserve">Sandip Bakshi </v>
      </c>
      <c r="D87" t="str">
        <f>VLOOKUP(SUBSTITUTE(TRIM(MID(H87,FIND(",TPE:",H87)-3,3)),"- ",""),Index!D:E,2,FALSE)</f>
        <v>Linebacker</v>
      </c>
      <c r="E87" t="str">
        <f>MID(H87,FIND("(",H87)+1,FIND(")",H87)-FIND("(",H87)-1)</f>
        <v>S14</v>
      </c>
      <c r="F87" t="s">
        <v>374</v>
      </c>
      <c r="G87">
        <f t="shared" si="5"/>
        <v>157</v>
      </c>
      <c r="H87" t="s">
        <v>251</v>
      </c>
    </row>
    <row r="88" spans="1:8" x14ac:dyDescent="0.25">
      <c r="A88">
        <f t="shared" si="3"/>
        <v>1</v>
      </c>
      <c r="B88">
        <f t="shared" si="4"/>
        <v>11536</v>
      </c>
      <c r="C88" t="str">
        <f>[1]!RegExpSubstitute(MID(H88,FIND("- ",H88)+2,FIND("- ",H88,FIND("- ",H88)+1)-FIND("- ",H88)-2),"\&amp;quot\;.*\&amp;quot\;\W","")</f>
        <v xml:space="preserve">Knute Knurtsson </v>
      </c>
      <c r="D88" t="str">
        <f>VLOOKUP(SUBSTITUTE(TRIM(MID(H88,FIND(",TPE:",H88)-3,3)),"- ",""),Index!D:E,2,FALSE)</f>
        <v>Safety</v>
      </c>
      <c r="E88" t="str">
        <f>MID(H88,FIND("(",H88)+1,FIND(")",H88)-FIND("(",H88)-1)</f>
        <v>S13</v>
      </c>
      <c r="F88" t="s">
        <v>374</v>
      </c>
      <c r="G88">
        <f t="shared" si="5"/>
        <v>195</v>
      </c>
      <c r="H88" t="s">
        <v>252</v>
      </c>
    </row>
    <row r="89" spans="1:8" x14ac:dyDescent="0.25">
      <c r="A89">
        <f t="shared" si="3"/>
        <v>1</v>
      </c>
      <c r="B89">
        <f t="shared" si="4"/>
        <v>11451</v>
      </c>
      <c r="C89" t="str">
        <f>[1]!RegExpSubstitute(MID(H89,FIND("- ",H89)+2,FIND("- ",H89,FIND("- ",H89)+1)-FIND("- ",H89)-2),"\&amp;quot\;.*\&amp;quot\;\W","")</f>
        <v xml:space="preserve">Nate Swift </v>
      </c>
      <c r="D89" t="str">
        <f>VLOOKUP(SUBSTITUTE(TRIM(MID(H89,FIND(",TPE:",H89)-3,3)),"- ",""),Index!D:E,2,FALSE)</f>
        <v>Wide Receiver</v>
      </c>
      <c r="E89" t="str">
        <f>MID(H89,FIND("(",H89)+1,FIND(")",H89)-FIND("(",H89)-1)</f>
        <v>S13</v>
      </c>
      <c r="F89" t="s">
        <v>374</v>
      </c>
      <c r="G89">
        <f t="shared" si="5"/>
        <v>361</v>
      </c>
      <c r="H89" t="s">
        <v>253</v>
      </c>
    </row>
    <row r="90" spans="1:8" x14ac:dyDescent="0.25">
      <c r="A90">
        <f t="shared" si="3"/>
        <v>1</v>
      </c>
      <c r="B90">
        <f t="shared" si="4"/>
        <v>11170</v>
      </c>
      <c r="C90" t="str">
        <f>[1]!RegExpSubstitute(MID(H90,FIND("- ",H90)+2,FIND("- ",H90,FIND("- ",H90)+1)-FIND("- ",H90)-2),"\&amp;quot\;.*\&amp;quot\;\W","")</f>
        <v xml:space="preserve">Johnny Snuggles </v>
      </c>
      <c r="D90" t="str">
        <f>VLOOKUP(SUBSTITUTE(TRIM(MID(H90,FIND(",TPE:",H90)-3,3)),"- ",""),Index!D:E,2,FALSE)</f>
        <v>Cornerback</v>
      </c>
      <c r="E90" t="str">
        <f>MID(H90,FIND("(",H90)+1,FIND(")",H90)-FIND("(",H90)-1)</f>
        <v>S13</v>
      </c>
      <c r="F90" t="s">
        <v>374</v>
      </c>
      <c r="G90">
        <f t="shared" si="5"/>
        <v>509</v>
      </c>
      <c r="H90" t="s">
        <v>254</v>
      </c>
    </row>
    <row r="91" spans="1:8" x14ac:dyDescent="0.25">
      <c r="A91">
        <f t="shared" si="3"/>
        <v>1</v>
      </c>
      <c r="B91">
        <f t="shared" si="4"/>
        <v>11027</v>
      </c>
      <c r="C91" t="str">
        <f>[1]!RegExpSubstitute(MID(H91,FIND("- ",H91)+2,FIND("- ",H91,FIND("- ",H91)+1)-FIND("- ",H91)-2),"\&amp;quot\;.*\&amp;quot\;\W","")</f>
        <v xml:space="preserve">Pecker Cox </v>
      </c>
      <c r="D91" t="str">
        <f>VLOOKUP(SUBSTITUTE(TRIM(MID(H91,FIND(",TPE:",H91)-3,3)),"- ",""),Index!D:E,2,FALSE)</f>
        <v>Defensive Line</v>
      </c>
      <c r="E91" t="str">
        <f>MID(H91,FIND("(",H91)+1,FIND(")",H91)-FIND("(",H91)-1)</f>
        <v>S12</v>
      </c>
      <c r="F91" t="s">
        <v>374</v>
      </c>
      <c r="G91">
        <f t="shared" si="5"/>
        <v>126</v>
      </c>
      <c r="H91" t="s">
        <v>189</v>
      </c>
    </row>
    <row r="92" spans="1:8" x14ac:dyDescent="0.25">
      <c r="A92">
        <f t="shared" si="3"/>
        <v>1</v>
      </c>
      <c r="B92">
        <f t="shared" si="4"/>
        <v>11004</v>
      </c>
      <c r="C92" t="str">
        <f>[1]!RegExpSubstitute(MID(H92,FIND("- ",H92)+2,FIND("- ",H92,FIND("- ",H92)+1)-FIND("- ",H92)-2),"\&amp;quot\;.*\&amp;quot\;\W","")</f>
        <v xml:space="preserve">Tommy Helanen </v>
      </c>
      <c r="D92" t="str">
        <f>VLOOKUP(SUBSTITUTE(TRIM(MID(H92,FIND(",TPE:",H92)-3,3)),"- ",""),Index!D:E,2,FALSE)</f>
        <v>Wide Receiver</v>
      </c>
      <c r="E92" t="str">
        <f>MID(H92,FIND("(",H92)+1,FIND(")",H92)-FIND("(",H92)-1)</f>
        <v>S12</v>
      </c>
      <c r="F92" t="s">
        <v>374</v>
      </c>
      <c r="G92">
        <f t="shared" si="5"/>
        <v>459</v>
      </c>
      <c r="H92" t="s">
        <v>255</v>
      </c>
    </row>
    <row r="93" spans="1:8" x14ac:dyDescent="0.25">
      <c r="A93">
        <f t="shared" si="3"/>
        <v>1</v>
      </c>
      <c r="B93">
        <f t="shared" si="4"/>
        <v>10738</v>
      </c>
      <c r="C93" t="str">
        <f>[1]!RegExpSubstitute(MID(H93,FIND("- ",H93)+2,FIND("- ",H93,FIND("- ",H93)+1)-FIND("- ",H93)-2),"\&amp;quot\;.*\&amp;quot\;\W","")</f>
        <v xml:space="preserve">Jeff Jefferson IV </v>
      </c>
      <c r="D93" t="str">
        <f>VLOOKUP(SUBSTITUTE(TRIM(MID(H93,FIND(",TPE:",H93)-3,3)),"- ",""),Index!D:E,2,FALSE)</f>
        <v>Safety</v>
      </c>
      <c r="E93" t="str">
        <f>MID(H93,FIND("(",H93)+1,FIND(")",H93)-FIND("(",H93)-1)</f>
        <v>S12</v>
      </c>
      <c r="F93" t="s">
        <v>374</v>
      </c>
      <c r="G93">
        <f t="shared" si="5"/>
        <v>182</v>
      </c>
      <c r="H93" t="s">
        <v>190</v>
      </c>
    </row>
    <row r="94" spans="1:8" x14ac:dyDescent="0.25">
      <c r="A94">
        <f t="shared" si="3"/>
        <v>1</v>
      </c>
      <c r="B94">
        <f t="shared" si="4"/>
        <v>10648</v>
      </c>
      <c r="C94" t="str">
        <f>[1]!RegExpSubstitute(MID(H94,FIND("- ",H94)+2,FIND("- ",H94,FIND("- ",H94)+1)-FIND("- ",H94)-2),"\&amp;quot\;.*\&amp;quot\;\W","")</f>
        <v xml:space="preserve">Dick Wizardry </v>
      </c>
      <c r="D94" t="str">
        <f>VLOOKUP(SUBSTITUTE(TRIM(MID(H94,FIND(",TPE:",H94)-3,3)),"- ",""),Index!D:E,2,FALSE)</f>
        <v>Runningback</v>
      </c>
      <c r="E94" t="str">
        <f>MID(H94,FIND("(",H94)+1,FIND(")",H94)-FIND("(",H94)-1)</f>
        <v>S12</v>
      </c>
      <c r="F94" t="s">
        <v>374</v>
      </c>
      <c r="G94">
        <f t="shared" si="5"/>
        <v>672</v>
      </c>
      <c r="H94" t="s">
        <v>256</v>
      </c>
    </row>
    <row r="95" spans="1:8" x14ac:dyDescent="0.25">
      <c r="A95">
        <f t="shared" si="3"/>
        <v>1</v>
      </c>
      <c r="B95">
        <f t="shared" si="4"/>
        <v>10402</v>
      </c>
      <c r="C95" t="str">
        <f>[1]!RegExpSubstitute(MID(H95,FIND("- ",H95)+2,FIND("- ",H95,FIND("- ",H95)+1)-FIND("- ",H95)-2),"\&amp;quot\;.*\&amp;quot\;\W","")</f>
        <v xml:space="preserve">Thomas Carrasco </v>
      </c>
      <c r="D95" t="str">
        <f>VLOOKUP(SUBSTITUTE(TRIM(MID(H95,FIND(",TPE:",H95)-3,3)),"- ",""),Index!D:E,2,FALSE)</f>
        <v>Runningback</v>
      </c>
      <c r="E95" t="str">
        <f>MID(H95,FIND("(",H95)+1,FIND(")",H95)-FIND("(",H95)-1)</f>
        <v>S11</v>
      </c>
      <c r="F95" t="s">
        <v>374</v>
      </c>
      <c r="G95">
        <f t="shared" si="5"/>
        <v>177</v>
      </c>
      <c r="H95" t="s">
        <v>191</v>
      </c>
    </row>
    <row r="96" spans="1:8" x14ac:dyDescent="0.25">
      <c r="A96">
        <f t="shared" si="3"/>
        <v>1</v>
      </c>
      <c r="B96">
        <f t="shared" si="4"/>
        <v>10136</v>
      </c>
      <c r="C96" t="str">
        <f>[1]!RegExpSubstitute(MID(H96,FIND("- ",H96)+2,FIND("- ",H96,FIND("- ",H96)+1)-FIND("- ",H96)-2),"\&amp;quot\;.*\&amp;quot\;\W","")</f>
        <v xml:space="preserve">Will Foster </v>
      </c>
      <c r="D96" t="str">
        <f>VLOOKUP(SUBSTITUTE(TRIM(MID(H96,FIND(",TPE:",H96)-3,3)),"- ",""),Index!D:E,2,FALSE)</f>
        <v>Defensive Line</v>
      </c>
      <c r="E96" t="str">
        <f>MID(H96,FIND("(",H96)+1,FIND(")",H96)-FIND("(",H96)-1)</f>
        <v>S11</v>
      </c>
      <c r="F96" t="s">
        <v>374</v>
      </c>
      <c r="G96">
        <f t="shared" si="5"/>
        <v>271</v>
      </c>
      <c r="H96" t="s">
        <v>192</v>
      </c>
    </row>
    <row r="97" spans="1:8" x14ac:dyDescent="0.25">
      <c r="A97">
        <f t="shared" si="3"/>
        <v>1</v>
      </c>
      <c r="B97">
        <f t="shared" si="4"/>
        <v>10092</v>
      </c>
      <c r="C97" t="str">
        <f>[1]!RegExpSubstitute(MID(H97,FIND("- ",H97)+2,FIND("- ",H97,FIND("- ",H97)+1)-FIND("- ",H97)-2),"\&amp;quot\;.*\&amp;quot\;\W","")</f>
        <v xml:space="preserve">Bobson Dugnutt </v>
      </c>
      <c r="D97" t="str">
        <f>VLOOKUP(SUBSTITUTE(TRIM(MID(H97,FIND(",TPE:",H97)-3,3)),"- ",""),Index!D:E,2,FALSE)</f>
        <v>Cornerback</v>
      </c>
      <c r="E97" t="str">
        <f>MID(H97,FIND("(",H97)+1,FIND(")",H97)-FIND("(",H97)-1)</f>
        <v>S11</v>
      </c>
      <c r="F97" t="s">
        <v>374</v>
      </c>
      <c r="G97">
        <f t="shared" si="5"/>
        <v>345</v>
      </c>
      <c r="H97" t="s">
        <v>193</v>
      </c>
    </row>
    <row r="98" spans="1:8" x14ac:dyDescent="0.25">
      <c r="A98">
        <f t="shared" si="3"/>
        <v>1</v>
      </c>
      <c r="B98">
        <f t="shared" si="4"/>
        <v>10061</v>
      </c>
      <c r="C98" t="str">
        <f>[1]!RegExpSubstitute(MID(H98,FIND("- ",H98)+2,FIND("- ",H98,FIND("- ",H98)+1)-FIND("- ",H98)-2),"\&amp;quot\;.*\&amp;quot\;\W","")</f>
        <v xml:space="preserve">Josh Parker </v>
      </c>
      <c r="D98" t="str">
        <f>VLOOKUP(SUBSTITUTE(TRIM(MID(H98,FIND(",TPE:",H98)-3,3)),"- ",""),Index!D:E,2,FALSE)</f>
        <v>Wide Receiver</v>
      </c>
      <c r="E98" t="str">
        <f>MID(H98,FIND("(",H98)+1,FIND(")",H98)-FIND("(",H98)-1)</f>
        <v>S11</v>
      </c>
      <c r="F98" t="s">
        <v>374</v>
      </c>
      <c r="G98">
        <f t="shared" si="5"/>
        <v>573</v>
      </c>
      <c r="H98" t="s">
        <v>257</v>
      </c>
    </row>
    <row r="99" spans="1:8" x14ac:dyDescent="0.25">
      <c r="A99">
        <f t="shared" si="3"/>
        <v>1</v>
      </c>
      <c r="B99">
        <f t="shared" si="4"/>
        <v>9830</v>
      </c>
      <c r="C99" t="str">
        <f>[1]!RegExpSubstitute(MID(H99,FIND("- ",H99)+2,FIND("- ",H99,FIND("- ",H99)+1)-FIND("- ",H99)-2),"\&amp;quot\;.*\&amp;quot\;\W","")</f>
        <v xml:space="preserve">Adrian Pitcher </v>
      </c>
      <c r="D99" t="str">
        <f>VLOOKUP(SUBSTITUTE(TRIM(MID(H99,FIND(",TPE:",H99)-3,3)),"- ",""),Index!D:E,2,FALSE)</f>
        <v>Tight End</v>
      </c>
      <c r="E99" t="str">
        <f>MID(H99,FIND("(",H99)+1,FIND(")",H99)-FIND("(",H99)-1)</f>
        <v>S11</v>
      </c>
      <c r="F99" t="s">
        <v>374</v>
      </c>
      <c r="G99">
        <f t="shared" si="5"/>
        <v>176</v>
      </c>
      <c r="H99" t="s">
        <v>194</v>
      </c>
    </row>
    <row r="100" spans="1:8" x14ac:dyDescent="0.25">
      <c r="A100">
        <f t="shared" si="3"/>
        <v>1</v>
      </c>
      <c r="B100">
        <f t="shared" si="4"/>
        <v>9833</v>
      </c>
      <c r="C100" t="str">
        <f>[1]!RegExpSubstitute(MID(H100,FIND("- ",H100)+2,FIND("- ",H100,FIND("- ",H100)+1)-FIND("- ",H100)-2),"\&amp;quot\;.*\&amp;quot\;\W","")</f>
        <v xml:space="preserve">Alex Selich </v>
      </c>
      <c r="D100" t="str">
        <f>VLOOKUP(SUBSTITUTE(TRIM(MID(H100,FIND(",TPE:",H100)-3,3)),"- ",""),Index!D:E,2,FALSE)</f>
        <v>Linebacker</v>
      </c>
      <c r="E100" t="str">
        <f>MID(H100,FIND("(",H100)+1,FIND(")",H100)-FIND("(",H100)-1)</f>
        <v>S11</v>
      </c>
      <c r="F100" t="s">
        <v>374</v>
      </c>
      <c r="G100">
        <f t="shared" si="5"/>
        <v>679</v>
      </c>
      <c r="H100" t="s">
        <v>258</v>
      </c>
    </row>
    <row r="101" spans="1:8" x14ac:dyDescent="0.25">
      <c r="A101">
        <f t="shared" si="3"/>
        <v>1</v>
      </c>
      <c r="B101">
        <f t="shared" si="4"/>
        <v>8030</v>
      </c>
      <c r="C101" t="str">
        <f>[1]!RegExpSubstitute(MID(H101,FIND("- ",H101)+2,FIND("- ",H101,FIND("- ",H101)+1)-FIND("- ",H101)-2),"\&amp;quot\;.*\&amp;quot\;\W","")</f>
        <v xml:space="preserve">Ramadan Steve </v>
      </c>
      <c r="D101" t="str">
        <f>VLOOKUP(SUBSTITUTE(TRIM(MID(H101,FIND(",TPE:",H101)-3,3)),"- ",""),Index!D:E,2,FALSE)</f>
        <v>Defensive Line</v>
      </c>
      <c r="E101" t="str">
        <f>MID(H101,FIND("(",H101)+1,FIND(")",H101)-FIND("(",H101)-1)</f>
        <v>S8</v>
      </c>
      <c r="F101" t="s">
        <v>374</v>
      </c>
      <c r="G101">
        <f t="shared" si="5"/>
        <v>152</v>
      </c>
      <c r="H101" t="s">
        <v>195</v>
      </c>
    </row>
    <row r="102" spans="1:8" x14ac:dyDescent="0.25">
      <c r="A102">
        <f t="shared" si="3"/>
        <v>1</v>
      </c>
      <c r="B102">
        <f t="shared" si="4"/>
        <v>8034</v>
      </c>
      <c r="C102" t="str">
        <f>[1]!RegExpSubstitute(MID(H102,FIND("- ",H102)+2,FIND("- ",H102,FIND("- ",H102)+1)-FIND("- ",H102)-2),"\&amp;quot\;.*\&amp;quot\;\W","")</f>
        <v xml:space="preserve">Brad Pennington </v>
      </c>
      <c r="D102" t="str">
        <f>VLOOKUP(SUBSTITUTE(TRIM(MID(H102,FIND(",TPE:",H102)-3,3)),"- ",""),Index!D:E,2,FALSE)</f>
        <v>Wide Receiver</v>
      </c>
      <c r="E102" t="str">
        <f>MID(H102,FIND("(",H102)+1,FIND(")",H102)-FIND("(",H102)-1)</f>
        <v>S8</v>
      </c>
      <c r="F102" t="s">
        <v>374</v>
      </c>
      <c r="G102">
        <f t="shared" si="5"/>
        <v>688</v>
      </c>
      <c r="H102" t="s">
        <v>196</v>
      </c>
    </row>
    <row r="103" spans="1:8" x14ac:dyDescent="0.25">
      <c r="A103">
        <f t="shared" si="3"/>
        <v>1</v>
      </c>
      <c r="B103">
        <f t="shared" si="4"/>
        <v>7874</v>
      </c>
      <c r="C103" t="str">
        <f>[1]!RegExpSubstitute(MID(H103,FIND("- ",H103)+2,FIND("- ",H103,FIND("- ",H103)+1)-FIND("- ",H103)-2),"\&amp;quot\;.*\&amp;quot\;\W","")</f>
        <v xml:space="preserve">Zach Skinner </v>
      </c>
      <c r="D103" t="str">
        <f>VLOOKUP(SUBSTITUTE(TRIM(MID(H103,FIND(",TPE:",H103)-3,3)),"- ",""),Index!D:E,2,FALSE)</f>
        <v>Defensive Line</v>
      </c>
      <c r="E103" t="str">
        <f>MID(H103,FIND("(",H103)+1,FIND(")",H103)-FIND("(",H103)-1)</f>
        <v>S7</v>
      </c>
      <c r="F103" t="s">
        <v>374</v>
      </c>
      <c r="G103">
        <f t="shared" si="5"/>
        <v>468</v>
      </c>
      <c r="H103" t="s">
        <v>259</v>
      </c>
    </row>
    <row r="104" spans="1:8" x14ac:dyDescent="0.25">
      <c r="A104">
        <f t="shared" si="3"/>
        <v>1</v>
      </c>
      <c r="B104">
        <f t="shared" si="4"/>
        <v>7424</v>
      </c>
      <c r="C104" t="str">
        <f>[1]!RegExpSubstitute(MID(H104,FIND("- ",H104)+2,FIND("- ",H104,FIND("- ",H104)+1)-FIND("- ",H104)-2),"\&amp;quot\;.*\&amp;quot\;\W","")</f>
        <v xml:space="preserve">Ryan Applehort </v>
      </c>
      <c r="D104" t="str">
        <f>VLOOKUP(SUBSTITUTE(TRIM(MID(H104,FIND(",TPE:",H104)-3,3)),"- ",""),Index!D:E,2,FALSE)</f>
        <v>Quarterback</v>
      </c>
      <c r="E104" t="str">
        <f>MID(H104,FIND("(",H104)+1,FIND(")",H104)-FIND("(",H104)-1)</f>
        <v>S7</v>
      </c>
      <c r="F104" t="s">
        <v>374</v>
      </c>
      <c r="G104">
        <f t="shared" si="5"/>
        <v>1183</v>
      </c>
      <c r="H104" t="s">
        <v>260</v>
      </c>
    </row>
    <row r="105" spans="1:8" x14ac:dyDescent="0.25">
      <c r="A105">
        <f t="shared" si="3"/>
        <v>1</v>
      </c>
      <c r="B105">
        <f t="shared" si="4"/>
        <v>6578</v>
      </c>
      <c r="C105" t="str">
        <f>[1]!RegExpSubstitute(MID(H105,FIND("- ",H105)+2,FIND("- ",H105,FIND("- ",H105)+1)-FIND("- ",H105)-2),"\&amp;quot\;.*\&amp;quot\;\W","")</f>
        <v xml:space="preserve">Forfeit </v>
      </c>
      <c r="D105" t="str">
        <f>VLOOKUP(SUBSTITUTE(TRIM(MID(H105,FIND(",TPE:",H105)-3,3)),"- ",""),Index!D:E,2,FALSE)</f>
        <v>Kicker</v>
      </c>
      <c r="E105" t="str">
        <f>MID(H105,FIND("(",H105)+1,FIND(")",H105)-FIND("(",H105)-1)</f>
        <v>S6</v>
      </c>
      <c r="F105" t="s">
        <v>374</v>
      </c>
      <c r="G105">
        <f t="shared" si="5"/>
        <v>197</v>
      </c>
      <c r="H105" t="s">
        <v>197</v>
      </c>
    </row>
    <row r="106" spans="1:8" x14ac:dyDescent="0.25">
      <c r="A106">
        <f t="shared" si="3"/>
        <v>1</v>
      </c>
      <c r="B106">
        <f t="shared" si="4"/>
        <v>5347</v>
      </c>
      <c r="C106" t="str">
        <f>[1]!RegExpSubstitute(MID(H106,FIND("- ",H106)+2,FIND("- ",H106,FIND("- ",H106)+1)-FIND("- ",H106)-2),"\&amp;quot\;.*\&amp;quot\;\W","")</f>
        <v xml:space="preserve">Cameron Taylor </v>
      </c>
      <c r="D106" t="str">
        <f>VLOOKUP(SUBSTITUTE(TRIM(MID(H106,FIND(",TPE:",H106)-3,3)),"- ",""),Index!D:E,2,FALSE)</f>
        <v>Safety</v>
      </c>
      <c r="E106" t="str">
        <f>MID(H106,FIND("(",H106)+1,FIND(")",H106)-FIND("(",H106)-1)</f>
        <v>S5</v>
      </c>
      <c r="F106" t="s">
        <v>374</v>
      </c>
      <c r="G106">
        <f t="shared" si="5"/>
        <v>620</v>
      </c>
      <c r="H106" t="s">
        <v>198</v>
      </c>
    </row>
    <row r="107" spans="1:8" x14ac:dyDescent="0.25">
      <c r="A107">
        <f t="shared" si="3"/>
        <v>1</v>
      </c>
      <c r="B107">
        <f t="shared" si="4"/>
        <v>11739</v>
      </c>
      <c r="C107" t="str">
        <f>[1]!RegExpSubstitute(MID(H107,FIND("- ",H107)+2,FIND("- ",H107,FIND("- ",H107)+1)-FIND("- ",H107)-2),"\&amp;quot\;.*\&amp;quot\;\W","")</f>
        <v xml:space="preserve">Ma Goomba </v>
      </c>
      <c r="D107" t="str">
        <f>VLOOKUP(SUBSTITUTE(TRIM(MID(H107,FIND(",TPE:",H107)-3,3)),"- ",""),Index!D:E,2,FALSE)</f>
        <v>Offensive Line</v>
      </c>
      <c r="E107" t="str">
        <f>MID(H107,FIND("(",H107)+1,FIND(")",H107)-FIND("(",H107)-1)</f>
        <v>S14</v>
      </c>
      <c r="F107" t="s">
        <v>375</v>
      </c>
      <c r="G107">
        <f t="shared" si="5"/>
        <v>57</v>
      </c>
      <c r="H107" t="s">
        <v>75</v>
      </c>
    </row>
    <row r="108" spans="1:8" x14ac:dyDescent="0.25">
      <c r="A108">
        <f t="shared" si="3"/>
        <v>1</v>
      </c>
      <c r="B108">
        <f t="shared" si="4"/>
        <v>11074</v>
      </c>
      <c r="C108" t="str">
        <f>[1]!RegExpSubstitute(MID(H108,FIND("- ",H108)+2,FIND("- ",H108,FIND("- ",H108)+1)-FIND("- ",H108)-2),"\&amp;quot\;.*\&amp;quot\;\W","")</f>
        <v xml:space="preserve">Jaren Haden </v>
      </c>
      <c r="D108" t="str">
        <f>VLOOKUP(SUBSTITUTE(TRIM(MID(H108,FIND(",TPE:",H108)-3,3)),"- ",""),Index!D:E,2,FALSE)</f>
        <v>Linebacker</v>
      </c>
      <c r="E108" t="str">
        <f>MID(H108,FIND("(",H108)+1,FIND(")",H108)-FIND("(",H108)-1)</f>
        <v>S13</v>
      </c>
      <c r="F108" t="s">
        <v>375</v>
      </c>
      <c r="G108">
        <f t="shared" si="5"/>
        <v>69</v>
      </c>
      <c r="H108" t="s">
        <v>76</v>
      </c>
    </row>
    <row r="109" spans="1:8" x14ac:dyDescent="0.25">
      <c r="A109">
        <f t="shared" si="3"/>
        <v>1</v>
      </c>
      <c r="B109">
        <f t="shared" si="4"/>
        <v>11043</v>
      </c>
      <c r="C109" t="str">
        <f>[1]!RegExpSubstitute(MID(H109,FIND("- ",H109)+2,FIND("- ",H109,FIND("- ",H109)+1)-FIND("- ",H109)-2),"\&amp;quot\;.*\&amp;quot\;\W","")</f>
        <v xml:space="preserve">Jordan McCann </v>
      </c>
      <c r="D109" t="str">
        <f>VLOOKUP(SUBSTITUTE(TRIM(MID(H109,FIND(",TPE:",H109)-3,3)),"- ",""),Index!D:E,2,FALSE)</f>
        <v>Defensive Line</v>
      </c>
      <c r="E109" t="str">
        <f>MID(H109,FIND("(",H109)+1,FIND(")",H109)-FIND("(",H109)-1)</f>
        <v>S13</v>
      </c>
      <c r="F109" t="s">
        <v>375</v>
      </c>
      <c r="G109">
        <f t="shared" si="5"/>
        <v>52</v>
      </c>
      <c r="H109" t="s">
        <v>77</v>
      </c>
    </row>
    <row r="110" spans="1:8" x14ac:dyDescent="0.25">
      <c r="A110">
        <f t="shared" si="3"/>
        <v>1</v>
      </c>
      <c r="B110">
        <f t="shared" si="4"/>
        <v>11030</v>
      </c>
      <c r="C110" t="str">
        <f>[1]!RegExpSubstitute(MID(H110,FIND("- ",H110)+2,FIND("- ",H110,FIND("- ",H110)+1)-FIND("- ",H110)-2),"\&amp;quot\;.*\&amp;quot\;\W","")</f>
        <v xml:space="preserve">Raymond Vans </v>
      </c>
      <c r="D110" t="str">
        <f>VLOOKUP(SUBSTITUTE(TRIM(MID(H110,FIND(",TPE:",H110)-3,3)),"- ",""),Index!D:E,2,FALSE)</f>
        <v>Linebacker</v>
      </c>
      <c r="E110" t="str">
        <f>MID(H110,FIND("(",H110)+1,FIND(")",H110)-FIND("(",H110)-1)</f>
        <v>S12</v>
      </c>
      <c r="F110" t="s">
        <v>375</v>
      </c>
      <c r="G110">
        <f t="shared" si="5"/>
        <v>416</v>
      </c>
      <c r="H110" t="s">
        <v>261</v>
      </c>
    </row>
    <row r="111" spans="1:8" x14ac:dyDescent="0.25">
      <c r="A111">
        <f t="shared" si="3"/>
        <v>1</v>
      </c>
      <c r="B111">
        <f t="shared" si="4"/>
        <v>10917</v>
      </c>
      <c r="C111" t="str">
        <f>[1]!RegExpSubstitute(MID(H111,FIND("- ",H111)+2,FIND("- ",H111,FIND("- ",H111)+1)-FIND("- ",H111)-2),"\&amp;quot\;.*\&amp;quot\;\W","")</f>
        <v xml:space="preserve">Hike Mughes </v>
      </c>
      <c r="D111" t="str">
        <f>VLOOKUP(SUBSTITUTE(TRIM(MID(H111,FIND(",TPE:",H111)-3,3)),"- ",""),Index!D:E,2,FALSE)</f>
        <v>Cornerback</v>
      </c>
      <c r="E111" t="str">
        <f>MID(H111,FIND("(",H111)+1,FIND(")",H111)-FIND("(",H111)-1)</f>
        <v>S12</v>
      </c>
      <c r="F111" t="s">
        <v>375</v>
      </c>
      <c r="G111">
        <f t="shared" si="5"/>
        <v>298</v>
      </c>
      <c r="H111" t="s">
        <v>262</v>
      </c>
    </row>
    <row r="112" spans="1:8" x14ac:dyDescent="0.25">
      <c r="A112">
        <f t="shared" si="3"/>
        <v>1</v>
      </c>
      <c r="B112">
        <f t="shared" si="4"/>
        <v>10765</v>
      </c>
      <c r="C112" t="str">
        <f>[1]!RegExpSubstitute(MID(H112,FIND("- ",H112)+2,FIND("- ",H112,FIND("- ",H112)+1)-FIND("- ",H112)-2),"\&amp;quot\;.*\&amp;quot\;\W","")</f>
        <v xml:space="preserve">Cole Walker </v>
      </c>
      <c r="D112" t="str">
        <f>VLOOKUP(SUBSTITUTE(TRIM(MID(H112,FIND(",TPE:",H112)-3,3)),"- ",""),Index!D:E,2,FALSE)</f>
        <v>Defensive Line</v>
      </c>
      <c r="E112" t="str">
        <f>MID(H112,FIND("(",H112)+1,FIND(")",H112)-FIND("(",H112)-1)</f>
        <v>S12</v>
      </c>
      <c r="F112" t="s">
        <v>375</v>
      </c>
      <c r="G112">
        <f t="shared" si="5"/>
        <v>99</v>
      </c>
      <c r="H112" t="s">
        <v>78</v>
      </c>
    </row>
    <row r="113" spans="1:8" x14ac:dyDescent="0.25">
      <c r="A113">
        <f t="shared" si="3"/>
        <v>1</v>
      </c>
      <c r="B113">
        <f t="shared" si="4"/>
        <v>10668</v>
      </c>
      <c r="C113" t="str">
        <f>[1]!RegExpSubstitute(MID(H113,FIND("- ",H113)+2,FIND("- ",H113,FIND("- ",H113)+1)-FIND("- ",H113)-2),"\&amp;quot\;.*\&amp;quot\;\W","")</f>
        <v xml:space="preserve">Jeffery Murphy </v>
      </c>
      <c r="D113" t="str">
        <f>VLOOKUP(SUBSTITUTE(TRIM(MID(H113,FIND(",TPE:",H113)-3,3)),"- ",""),Index!D:E,2,FALSE)</f>
        <v>Cornerback</v>
      </c>
      <c r="E113" t="str">
        <f>MID(H113,FIND("(",H113)+1,FIND(")",H113)-FIND("(",H113)-1)</f>
        <v>S12</v>
      </c>
      <c r="F113" t="s">
        <v>375</v>
      </c>
      <c r="G113">
        <f t="shared" si="5"/>
        <v>240</v>
      </c>
      <c r="H113" t="s">
        <v>79</v>
      </c>
    </row>
    <row r="114" spans="1:8" x14ac:dyDescent="0.25">
      <c r="A114">
        <f t="shared" si="3"/>
        <v>1</v>
      </c>
      <c r="B114">
        <f t="shared" si="4"/>
        <v>10466</v>
      </c>
      <c r="C114" t="str">
        <f>[1]!RegExpSubstitute(MID(H114,FIND("- ",H114)+2,FIND("- ",H114,FIND("- ",H114)+1)-FIND("- ",H114)-2),"\&amp;quot\;.*\&amp;quot\;\W","")</f>
        <v xml:space="preserve">Sam Hardwick </v>
      </c>
      <c r="D114" t="str">
        <f>VLOOKUP(SUBSTITUTE(TRIM(MID(H114,FIND(",TPE:",H114)-3,3)),"- ",""),Index!D:E,2,FALSE)</f>
        <v>Wide Receiver</v>
      </c>
      <c r="E114" t="str">
        <f>MID(H114,FIND("(",H114)+1,FIND(")",H114)-FIND("(",H114)-1)</f>
        <v>S12</v>
      </c>
      <c r="F114" t="s">
        <v>375</v>
      </c>
      <c r="G114">
        <f t="shared" si="5"/>
        <v>396</v>
      </c>
      <c r="H114" t="s">
        <v>80</v>
      </c>
    </row>
    <row r="115" spans="1:8" x14ac:dyDescent="0.25">
      <c r="A115">
        <f t="shared" si="3"/>
        <v>1</v>
      </c>
      <c r="B115">
        <f t="shared" si="4"/>
        <v>10234</v>
      </c>
      <c r="C115" t="str">
        <f>[1]!RegExpSubstitute(MID(H115,FIND("- ",H115)+2,FIND("- ",H115,FIND("- ",H115)+1)-FIND("- ",H115)-2),"\&amp;quot\;.*\&amp;quot\;\W","")</f>
        <v xml:space="preserve">Slim Shady </v>
      </c>
      <c r="D115" t="str">
        <f>VLOOKUP(SUBSTITUTE(TRIM(MID(H115,FIND(",TPE:",H115)-3,3)),"- ",""),Index!D:E,2,FALSE)</f>
        <v>Runningback</v>
      </c>
      <c r="E115" t="str">
        <f>MID(H115,FIND("(",H115)+1,FIND(")",H115)-FIND("(",H115)-1)</f>
        <v>S11</v>
      </c>
      <c r="F115" t="s">
        <v>375</v>
      </c>
      <c r="G115">
        <f t="shared" si="5"/>
        <v>460</v>
      </c>
      <c r="H115" t="s">
        <v>263</v>
      </c>
    </row>
    <row r="116" spans="1:8" x14ac:dyDescent="0.25">
      <c r="A116">
        <f t="shared" si="3"/>
        <v>1</v>
      </c>
      <c r="B116">
        <f t="shared" si="4"/>
        <v>10118</v>
      </c>
      <c r="C116" t="str">
        <f>[1]!RegExpSubstitute(MID(H116,FIND("- ",H116)+2,FIND("- ",H116,FIND("- ",H116)+1)-FIND("- ",H116)-2),"\&amp;quot\;.*\&amp;quot\;\W","")</f>
        <v xml:space="preserve">Harvey Kindle </v>
      </c>
      <c r="D116" t="str">
        <f>VLOOKUP(SUBSTITUTE(TRIM(MID(H116,FIND(",TPE:",H116)-3,3)),"- ",""),Index!D:E,2,FALSE)</f>
        <v>Wide Receiver</v>
      </c>
      <c r="E116" t="str">
        <f>MID(H116,FIND("(",H116)+1,FIND(")",H116)-FIND("(",H116)-1)</f>
        <v>S11</v>
      </c>
      <c r="F116" t="s">
        <v>375</v>
      </c>
      <c r="G116">
        <f t="shared" si="5"/>
        <v>172</v>
      </c>
      <c r="H116" t="s">
        <v>81</v>
      </c>
    </row>
    <row r="117" spans="1:8" x14ac:dyDescent="0.25">
      <c r="A117">
        <f t="shared" si="3"/>
        <v>1</v>
      </c>
      <c r="B117">
        <f t="shared" si="4"/>
        <v>10062</v>
      </c>
      <c r="C117" t="str">
        <f>[1]!RegExpSubstitute(MID(H117,FIND("- ",H117)+2,FIND("- ",H117,FIND("- ",H117)+1)-FIND("- ",H117)-2),"\&amp;quot\;.*\&amp;quot\;\W","")</f>
        <v xml:space="preserve">Steven Moore </v>
      </c>
      <c r="D117" t="str">
        <f>VLOOKUP(SUBSTITUTE(TRIM(MID(H117,FIND(",TPE:",H117)-3,3)),"- ",""),Index!D:E,2,FALSE)</f>
        <v>Tight End</v>
      </c>
      <c r="E117" t="str">
        <f>MID(H117,FIND("(",H117)+1,FIND(")",H117)-FIND("(",H117)-1)</f>
        <v>S11</v>
      </c>
      <c r="F117" t="s">
        <v>375</v>
      </c>
      <c r="G117">
        <f t="shared" si="5"/>
        <v>316</v>
      </c>
      <c r="H117" t="s">
        <v>82</v>
      </c>
    </row>
    <row r="118" spans="1:8" x14ac:dyDescent="0.25">
      <c r="A118">
        <f t="shared" si="3"/>
        <v>1</v>
      </c>
      <c r="B118">
        <f t="shared" si="4"/>
        <v>9986</v>
      </c>
      <c r="C118" t="str">
        <f>[1]!RegExpSubstitute(MID(H118,FIND("- ",H118)+2,FIND("- ",H118,FIND("- ",H118)+1)-FIND("- ",H118)-2),"\&amp;quot\;.*\&amp;quot\;\W","")</f>
        <v xml:space="preserve">Andrew Reese </v>
      </c>
      <c r="D118" t="str">
        <f>VLOOKUP(SUBSTITUTE(TRIM(MID(H118,FIND(",TPE:",H118)-3,3)),"- ",""),Index!D:E,2,FALSE)</f>
        <v>Quarterback</v>
      </c>
      <c r="E118" t="str">
        <f>MID(H118,FIND("(",H118)+1,FIND(")",H118)-FIND("(",H118)-1)</f>
        <v>S11</v>
      </c>
      <c r="F118" t="s">
        <v>375</v>
      </c>
      <c r="G118">
        <f t="shared" si="5"/>
        <v>778</v>
      </c>
      <c r="H118" t="s">
        <v>264</v>
      </c>
    </row>
    <row r="119" spans="1:8" x14ac:dyDescent="0.25">
      <c r="A119">
        <f t="shared" si="3"/>
        <v>1</v>
      </c>
      <c r="B119">
        <f t="shared" si="4"/>
        <v>9815</v>
      </c>
      <c r="C119" t="str">
        <f>[1]!RegExpSubstitute(MID(H119,FIND("- ",H119)+2,FIND("- ",H119,FIND("- ",H119)+1)-FIND("- ",H119)-2),"\&amp;quot\;.*\&amp;quot\;\W","")</f>
        <v xml:space="preserve">A.J. Robertson </v>
      </c>
      <c r="D119" t="str">
        <f>VLOOKUP(SUBSTITUTE(TRIM(MID(H119,FIND(",TPE:",H119)-3,3)),"- ",""),Index!D:E,2,FALSE)</f>
        <v>Linebacker</v>
      </c>
      <c r="E119" t="str">
        <f>MID(H119,FIND("(",H119)+1,FIND(")",H119)-FIND("(",H119)-1)</f>
        <v>S10</v>
      </c>
      <c r="F119" t="s">
        <v>375</v>
      </c>
      <c r="G119">
        <f t="shared" si="5"/>
        <v>249</v>
      </c>
      <c r="H119" t="s">
        <v>83</v>
      </c>
    </row>
    <row r="120" spans="1:8" x14ac:dyDescent="0.25">
      <c r="A120">
        <f t="shared" si="3"/>
        <v>1</v>
      </c>
      <c r="B120">
        <f t="shared" si="4"/>
        <v>9469</v>
      </c>
      <c r="C120" t="str">
        <f>[1]!RegExpSubstitute(MID(H120,FIND("- ",H120)+2,FIND("- ",H120,FIND("- ",H120)+1)-FIND("- ",H120)-2),"\&amp;quot\;.*\&amp;quot\;\W","")</f>
        <v xml:space="preserve">Emilia Rudd </v>
      </c>
      <c r="D120" t="str">
        <f>VLOOKUP(SUBSTITUTE(TRIM(MID(H120,FIND(",TPE:",H120)-3,3)),"- ",""),Index!D:E,2,FALSE)</f>
        <v>Tight End</v>
      </c>
      <c r="E120" t="str">
        <f>MID(H120,FIND("(",H120)+1,FIND(")",H120)-FIND("(",H120)-1)</f>
        <v>S10</v>
      </c>
      <c r="F120" t="s">
        <v>375</v>
      </c>
      <c r="G120">
        <f t="shared" si="5"/>
        <v>153</v>
      </c>
      <c r="H120" t="s">
        <v>84</v>
      </c>
    </row>
    <row r="121" spans="1:8" x14ac:dyDescent="0.25">
      <c r="A121">
        <f t="shared" si="3"/>
        <v>1</v>
      </c>
      <c r="B121">
        <f t="shared" si="4"/>
        <v>9416</v>
      </c>
      <c r="C121" t="str">
        <f>[1]!RegExpSubstitute(MID(H121,FIND("- ",H121)+2,FIND("- ",H121,FIND("- ",H121)+1)-FIND("- ",H121)-2),"\&amp;quot\;.*\&amp;quot\;\W","")</f>
        <v xml:space="preserve">Avery Woodham </v>
      </c>
      <c r="D121" t="str">
        <f>VLOOKUP(SUBSTITUTE(TRIM(MID(H121,FIND(",TPE:",H121)-3,3)),"- ",""),Index!D:E,2,FALSE)</f>
        <v>Defensive Line</v>
      </c>
      <c r="E121" t="str">
        <f>MID(H121,FIND("(",H121)+1,FIND(")",H121)-FIND("(",H121)-1)</f>
        <v>S10</v>
      </c>
      <c r="F121" t="s">
        <v>375</v>
      </c>
      <c r="G121">
        <f t="shared" si="5"/>
        <v>187</v>
      </c>
      <c r="H121" t="s">
        <v>265</v>
      </c>
    </row>
    <row r="122" spans="1:8" x14ac:dyDescent="0.25">
      <c r="A122">
        <f t="shared" si="3"/>
        <v>1</v>
      </c>
      <c r="B122">
        <f t="shared" si="4"/>
        <v>9349</v>
      </c>
      <c r="C122" t="str">
        <f>[1]!RegExpSubstitute(MID(H122,FIND("- ",H122)+2,FIND("- ",H122,FIND("- ",H122)+1)-FIND("- ",H122)-2),"\&amp;quot\;.*\&amp;quot\;\W","")</f>
        <v xml:space="preserve">Shannon Hobbs </v>
      </c>
      <c r="D122" t="str">
        <f>VLOOKUP(SUBSTITUTE(TRIM(MID(H122,FIND(",TPE:",H122)-3,3)),"- ",""),Index!D:E,2,FALSE)</f>
        <v>Safety</v>
      </c>
      <c r="E122" t="str">
        <f>MID(H122,FIND("(",H122)+1,FIND(")",H122)-FIND("(",H122)-1)</f>
        <v>S10</v>
      </c>
      <c r="F122" t="s">
        <v>375</v>
      </c>
      <c r="G122">
        <f t="shared" si="5"/>
        <v>334</v>
      </c>
      <c r="H122" t="s">
        <v>85</v>
      </c>
    </row>
    <row r="123" spans="1:8" x14ac:dyDescent="0.25">
      <c r="A123">
        <f t="shared" si="3"/>
        <v>1</v>
      </c>
      <c r="B123">
        <f t="shared" si="4"/>
        <v>9243</v>
      </c>
      <c r="C123" t="str">
        <f>[1]!RegExpSubstitute(MID(H123,FIND("- ",H123)+2,FIND("- ",H123,FIND("- ",H123)+1)-FIND("- ",H123)-2),"\&amp;quot\;.*\&amp;quot\;\W","")</f>
        <v xml:space="preserve">Felix Hasselhoff </v>
      </c>
      <c r="D123" t="str">
        <f>VLOOKUP(SUBSTITUTE(TRIM(MID(H123,FIND(",TPE:",H123)-3,3)),"- ",""),Index!D:E,2,FALSE)</f>
        <v>Wide Receiver</v>
      </c>
      <c r="E123" t="str">
        <f>MID(H123,FIND("(",H123)+1,FIND(")",H123)-FIND("(",H123)-1)</f>
        <v>S10</v>
      </c>
      <c r="F123" t="s">
        <v>375</v>
      </c>
      <c r="G123">
        <f t="shared" si="5"/>
        <v>338</v>
      </c>
      <c r="H123" t="s">
        <v>86</v>
      </c>
    </row>
    <row r="124" spans="1:8" x14ac:dyDescent="0.25">
      <c r="A124">
        <f t="shared" si="3"/>
        <v>1</v>
      </c>
      <c r="B124">
        <f t="shared" si="4"/>
        <v>9117</v>
      </c>
      <c r="C124" t="str">
        <f>[1]!RegExpSubstitute(MID(H124,FIND("- ",H124)+2,FIND("- ",H124,FIND("- ",H124)+1)-FIND("- ",H124)-2),"\&amp;quot\;.*\&amp;quot\;\W","")</f>
        <v xml:space="preserve">John Springfield </v>
      </c>
      <c r="D124" t="str">
        <f>VLOOKUP(SUBSTITUTE(TRIM(MID(H124,FIND(",TPE:",H124)-3,3)),"- ",""),Index!D:E,2,FALSE)</f>
        <v>Safety</v>
      </c>
      <c r="E124" t="str">
        <f>MID(H124,FIND("(",H124)+1,FIND(")",H124)-FIND("(",H124)-1)</f>
        <v>S9</v>
      </c>
      <c r="F124" t="s">
        <v>375</v>
      </c>
      <c r="G124">
        <f t="shared" si="5"/>
        <v>57</v>
      </c>
      <c r="H124" t="s">
        <v>87</v>
      </c>
    </row>
    <row r="125" spans="1:8" x14ac:dyDescent="0.25">
      <c r="A125">
        <f t="shared" si="3"/>
        <v>1</v>
      </c>
      <c r="B125">
        <f t="shared" si="4"/>
        <v>8796</v>
      </c>
      <c r="C125" t="str">
        <f>[1]!RegExpSubstitute(MID(H125,FIND("- ",H125)+2,FIND("- ",H125,FIND("- ",H125)+1)-FIND("- ",H125)-2),"\&amp;quot\;.*\&amp;quot\;\W","")</f>
        <v xml:space="preserve">Tyler Griffin </v>
      </c>
      <c r="D125" t="str">
        <f>VLOOKUP(SUBSTITUTE(TRIM(MID(H125,FIND(",TPE:",H125)-3,3)),"- ",""),Index!D:E,2,FALSE)</f>
        <v>Linebacker</v>
      </c>
      <c r="E125" t="str">
        <f>MID(H125,FIND("(",H125)+1,FIND(")",H125)-FIND("(",H125)-1)</f>
        <v>S9</v>
      </c>
      <c r="F125" t="s">
        <v>375</v>
      </c>
      <c r="G125">
        <f t="shared" si="5"/>
        <v>86</v>
      </c>
      <c r="H125" t="s">
        <v>88</v>
      </c>
    </row>
    <row r="126" spans="1:8" x14ac:dyDescent="0.25">
      <c r="A126">
        <f t="shared" si="3"/>
        <v>1</v>
      </c>
      <c r="B126">
        <f t="shared" si="4"/>
        <v>8627</v>
      </c>
      <c r="C126" t="str">
        <f>[1]!RegExpSubstitute(MID(H126,FIND("- ",H126)+2,FIND("- ",H126,FIND("- ",H126)+1)-FIND("- ",H126)-2),"\&amp;quot\;.*\&amp;quot\;\W","")</f>
        <v xml:space="preserve">Jai Turner </v>
      </c>
      <c r="D126" t="str">
        <f>VLOOKUP(SUBSTITUTE(TRIM(MID(H126,FIND(",TPE:",H126)-3,3)),"- ",""),Index!D:E,2,FALSE)</f>
        <v>Wide Receiver</v>
      </c>
      <c r="E126" t="str">
        <f>MID(H126,FIND("(",H126)+1,FIND(")",H126)-FIND("(",H126)-1)</f>
        <v>S9</v>
      </c>
      <c r="F126" t="s">
        <v>375</v>
      </c>
      <c r="G126">
        <f t="shared" si="5"/>
        <v>76</v>
      </c>
      <c r="H126" t="s">
        <v>89</v>
      </c>
    </row>
    <row r="127" spans="1:8" x14ac:dyDescent="0.25">
      <c r="A127">
        <f t="shared" si="3"/>
        <v>1</v>
      </c>
      <c r="B127">
        <f t="shared" si="4"/>
        <v>8209</v>
      </c>
      <c r="C127" t="str">
        <f>[1]!RegExpSubstitute(MID(H127,FIND("- ",H127)+2,FIND("- ",H127,FIND("- ",H127)+1)-FIND("- ",H127)-2),"\&amp;quot\;.*\&amp;quot\;\W","")</f>
        <v xml:space="preserve">Hammer Jack </v>
      </c>
      <c r="D127" t="str">
        <f>VLOOKUP(SUBSTITUTE(TRIM(MID(H127,FIND(",TPE:",H127)-3,3)),"- ",""),Index!D:E,2,FALSE)</f>
        <v>Cornerback</v>
      </c>
      <c r="E127" t="str">
        <f>MID(H127,FIND("(",H127)+1,FIND(")",H127)-FIND("(",H127)-1)</f>
        <v>S8</v>
      </c>
      <c r="F127" t="s">
        <v>375</v>
      </c>
      <c r="G127">
        <f t="shared" si="5"/>
        <v>73</v>
      </c>
      <c r="H127" t="s">
        <v>90</v>
      </c>
    </row>
    <row r="128" spans="1:8" x14ac:dyDescent="0.25">
      <c r="A128">
        <f t="shared" si="3"/>
        <v>1</v>
      </c>
      <c r="B128">
        <f t="shared" si="4"/>
        <v>8230</v>
      </c>
      <c r="C128" t="str">
        <f>[1]!RegExpSubstitute(MID(H128,FIND("- ",H128)+2,FIND("- ",H128,FIND("- ",H128)+1)-FIND("- ",H128)-2),"\&amp;quot\;.*\&amp;quot\;\W","")</f>
        <v xml:space="preserve">Fonz Nuno </v>
      </c>
      <c r="D128" t="str">
        <f>VLOOKUP(SUBSTITUTE(TRIM(MID(H128,FIND(",TPE:",H128)-3,3)),"- ",""),Index!D:E,2,FALSE)</f>
        <v>Defensive Line</v>
      </c>
      <c r="E128" t="str">
        <f>MID(H128,FIND("(",H128)+1,FIND(")",H128)-FIND("(",H128)-1)</f>
        <v>S8</v>
      </c>
      <c r="F128" t="s">
        <v>375</v>
      </c>
      <c r="G128">
        <f t="shared" si="5"/>
        <v>67</v>
      </c>
      <c r="H128" t="s">
        <v>91</v>
      </c>
    </row>
    <row r="129" spans="1:8" x14ac:dyDescent="0.25">
      <c r="A129">
        <f t="shared" si="3"/>
        <v>1</v>
      </c>
      <c r="B129">
        <f t="shared" si="4"/>
        <v>6978</v>
      </c>
      <c r="C129" t="str">
        <f>[1]!RegExpSubstitute(MID(H129,FIND("- ",H129)+2,FIND("- ",H129,FIND("- ",H129)+1)-FIND("- ",H129)-2),"\&amp;quot\;.*\&amp;quot\;\W","")</f>
        <v xml:space="preserve">Borro Gore </v>
      </c>
      <c r="D129" t="str">
        <f>VLOOKUP(SUBSTITUTE(TRIM(MID(H129,FIND(",TPE:",H129)-3,3)),"- ",""),Index!D:E,2,FALSE)</f>
        <v>Runningback</v>
      </c>
      <c r="E129" t="str">
        <f>MID(H129,FIND("(",H129)+1,FIND(")",H129)-FIND("(",H129)-1)</f>
        <v>S6</v>
      </c>
      <c r="F129" t="s">
        <v>375</v>
      </c>
      <c r="G129">
        <f t="shared" si="5"/>
        <v>150</v>
      </c>
      <c r="H129" t="s">
        <v>92</v>
      </c>
    </row>
    <row r="130" spans="1:8" x14ac:dyDescent="0.25">
      <c r="A130">
        <f t="shared" ref="A130:A193" si="6">COUNTIF($B$2:$B$375,B130)</f>
        <v>1</v>
      </c>
      <c r="B130">
        <f t="shared" si="4"/>
        <v>6214</v>
      </c>
      <c r="C130" t="str">
        <f>[1]!RegExpSubstitute(MID(H130,FIND("- ",H130)+2,FIND("- ",H130,FIND("- ",H130)+1)-FIND("- ",H130)-2),"\&amp;quot\;.*\&amp;quot\;\W","")</f>
        <v xml:space="preserve">Norman Bagwell </v>
      </c>
      <c r="D130" t="str">
        <f>VLOOKUP(SUBSTITUTE(TRIM(MID(H130,FIND(",TPE:",H130)-3,3)),"- ",""),Index!D:E,2,FALSE)</f>
        <v>Defensive Line</v>
      </c>
      <c r="E130" t="str">
        <f>MID(H130,FIND("(",H130)+1,FIND(")",H130)-FIND("(",H130)-1)</f>
        <v>S6</v>
      </c>
      <c r="F130" t="s">
        <v>375</v>
      </c>
      <c r="G130">
        <f t="shared" si="5"/>
        <v>201</v>
      </c>
      <c r="H130" t="s">
        <v>93</v>
      </c>
    </row>
    <row r="131" spans="1:8" x14ac:dyDescent="0.25">
      <c r="A131">
        <f t="shared" si="6"/>
        <v>1</v>
      </c>
      <c r="B131">
        <f t="shared" ref="B131:B194" si="7">[1]!Numerize(MID(H131,FIND("=",H131),10))+0</f>
        <v>5481</v>
      </c>
      <c r="C131" t="str">
        <f>[1]!RegExpSubstitute(MID(H131,FIND("- ",H131)+2,FIND("- ",H131,FIND("- ",H131)+1)-FIND("- ",H131)-2),"\&amp;quot\;.*\&amp;quot\;\W","")</f>
        <v xml:space="preserve">Dean Jackson </v>
      </c>
      <c r="D131" t="str">
        <f>VLOOKUP(SUBSTITUTE(TRIM(MID(H131,FIND(",TPE:",H131)-3,3)),"- ",""),Index!D:E,2,FALSE)</f>
        <v>Kicker</v>
      </c>
      <c r="E131" t="str">
        <f>MID(H131,FIND("(",H131)+1,FIND(")",H131)-FIND("(",H131)-1)</f>
        <v>S5</v>
      </c>
      <c r="F131" t="s">
        <v>375</v>
      </c>
      <c r="G131">
        <f t="shared" ref="G131:G194" si="8">MID(H131,FIND("TPE: ",H131)+5,FIND(", ",H131,FIND("TPE: ",H131))-FIND("TPE: ",H131)-5)+0</f>
        <v>686</v>
      </c>
      <c r="H131" t="s">
        <v>94</v>
      </c>
    </row>
    <row r="132" spans="1:8" x14ac:dyDescent="0.25">
      <c r="A132">
        <f t="shared" si="6"/>
        <v>1</v>
      </c>
      <c r="B132">
        <f t="shared" si="7"/>
        <v>2894</v>
      </c>
      <c r="C132" t="str">
        <f>[1]!RegExpSubstitute(MID(H132,FIND("- ",H132)+2,FIND("- ",H132,FIND("- ",H132)+1)-FIND("- ",H132)-2),"\&amp;quot\;.*\&amp;quot\;\W","")</f>
        <v xml:space="preserve">Trey Willie </v>
      </c>
      <c r="D132" t="str">
        <f>VLOOKUP(SUBSTITUTE(TRIM(MID(H132,FIND(",TPE:",H132)-3,3)),"- ",""),Index!D:E,2,FALSE)</f>
        <v>Wide Receiver</v>
      </c>
      <c r="E132" t="str">
        <f>MID(H132,FIND("(",H132)+1,FIND(")",H132)-FIND("(",H132)-1)</f>
        <v>S3</v>
      </c>
      <c r="F132" t="s">
        <v>375</v>
      </c>
      <c r="G132">
        <f t="shared" si="8"/>
        <v>243</v>
      </c>
      <c r="H132" t="s">
        <v>95</v>
      </c>
    </row>
    <row r="133" spans="1:8" x14ac:dyDescent="0.25">
      <c r="A133">
        <f t="shared" si="6"/>
        <v>1</v>
      </c>
      <c r="B133">
        <f t="shared" si="7"/>
        <v>11721</v>
      </c>
      <c r="C133" t="str">
        <f>[1]!RegExpSubstitute(MID(H133,FIND("- ",H133)+2,FIND("- ",H133,FIND("- ",H133)+1)-FIND("- ",H133)-2),"\&amp;quot\;.*\&amp;quot\;\W","")</f>
        <v xml:space="preserve">Stan Francisco </v>
      </c>
      <c r="D133" t="str">
        <f>VLOOKUP(SUBSTITUTE(TRIM(MID(H133,FIND(",TPE:",H133)-3,3)),"- ",""),Index!D:E,2,FALSE)</f>
        <v>Tight End</v>
      </c>
      <c r="E133" t="str">
        <f>MID(H133,FIND("(",H133)+1,FIND(")",H133)-FIND("(",H133)-1)</f>
        <v>S14</v>
      </c>
      <c r="F133" t="s">
        <v>376</v>
      </c>
      <c r="G133">
        <f t="shared" si="8"/>
        <v>208</v>
      </c>
      <c r="H133" t="s">
        <v>266</v>
      </c>
    </row>
    <row r="134" spans="1:8" x14ac:dyDescent="0.25">
      <c r="A134">
        <f t="shared" si="6"/>
        <v>1</v>
      </c>
      <c r="B134">
        <f t="shared" si="7"/>
        <v>11230</v>
      </c>
      <c r="C134" t="str">
        <f>[1]!RegExpSubstitute(MID(H134,FIND("- ",H134)+2,FIND("- ",H134,FIND("- ",H134)+1)-FIND("- ",H134)-2),"\&amp;quot\;.*\&amp;quot\;\W","")</f>
        <v xml:space="preserve">Tyler Swift </v>
      </c>
      <c r="D134" t="str">
        <f>VLOOKUP(SUBSTITUTE(TRIM(MID(H134,FIND(",TPE:",H134)-3,3)),"- ",""),Index!D:E,2,FALSE)</f>
        <v>Runningback</v>
      </c>
      <c r="E134" t="str">
        <f>MID(H134,FIND("(",H134)+1,FIND(")",H134)-FIND("(",H134)-1)</f>
        <v>S13</v>
      </c>
      <c r="F134" t="s">
        <v>376</v>
      </c>
      <c r="G134">
        <f t="shared" si="8"/>
        <v>469</v>
      </c>
      <c r="H134" t="s">
        <v>267</v>
      </c>
    </row>
    <row r="135" spans="1:8" x14ac:dyDescent="0.25">
      <c r="A135">
        <f t="shared" si="6"/>
        <v>1</v>
      </c>
      <c r="B135">
        <f t="shared" si="7"/>
        <v>11077</v>
      </c>
      <c r="C135" t="str">
        <f>[1]!RegExpSubstitute(MID(H135,FIND("- ",H135)+2,FIND("- ",H135,FIND("- ",H135)+1)-FIND("- ",H135)-2),"\&amp;quot\;.*\&amp;quot\;\W","")</f>
        <v xml:space="preserve">Benson Harris </v>
      </c>
      <c r="D135" t="str">
        <f>VLOOKUP(SUBSTITUTE(TRIM(MID(H135,FIND(",TPE:",H135)-3,3)),"- ",""),Index!D:E,2,FALSE)</f>
        <v>Defensive Line</v>
      </c>
      <c r="E135" t="str">
        <f>MID(H135,FIND("(",H135)+1,FIND(")",H135)-FIND("(",H135)-1)</f>
        <v>S13</v>
      </c>
      <c r="F135" t="s">
        <v>376</v>
      </c>
      <c r="G135">
        <f t="shared" si="8"/>
        <v>398</v>
      </c>
      <c r="H135" t="s">
        <v>143</v>
      </c>
    </row>
    <row r="136" spans="1:8" x14ac:dyDescent="0.25">
      <c r="A136">
        <f t="shared" si="6"/>
        <v>1</v>
      </c>
      <c r="B136">
        <f t="shared" si="7"/>
        <v>11032</v>
      </c>
      <c r="C136" t="str">
        <f>[1]!RegExpSubstitute(MID(H136,FIND("- ",H136)+2,FIND("- ",H136,FIND("- ",H136)+1)-FIND("- ",H136)-2),"\&amp;quot\;.*\&amp;quot\;\W","")</f>
        <v xml:space="preserve">Stayve Jerome Thomas </v>
      </c>
      <c r="D136" t="str">
        <f>VLOOKUP(SUBSTITUTE(TRIM(MID(H136,FIND(",TPE:",H136)-3,3)),"- ",""),Index!D:E,2,FALSE)</f>
        <v>Defensive Line</v>
      </c>
      <c r="E136" t="str">
        <f>MID(H136,FIND("(",H136)+1,FIND(")",H136)-FIND("(",H136)-1)</f>
        <v>S12</v>
      </c>
      <c r="F136" t="s">
        <v>376</v>
      </c>
      <c r="G136">
        <f t="shared" si="8"/>
        <v>135</v>
      </c>
      <c r="H136" t="s">
        <v>14</v>
      </c>
    </row>
    <row r="137" spans="1:8" x14ac:dyDescent="0.25">
      <c r="A137">
        <f t="shared" si="6"/>
        <v>1</v>
      </c>
      <c r="B137">
        <f t="shared" si="7"/>
        <v>10941</v>
      </c>
      <c r="C137" t="str">
        <f>[1]!RegExpSubstitute(MID(H137,FIND("- ",H137)+2,FIND("- ",H137,FIND("- ",H137)+1)-FIND("- ",H137)-2),"\&amp;quot\;.*\&amp;quot\;\W","")</f>
        <v xml:space="preserve">Rylant Wright </v>
      </c>
      <c r="D137" t="str">
        <f>VLOOKUP(SUBSTITUTE(TRIM(MID(H137,FIND(",TPE:",H137)-3,3)),"- ",""),Index!D:E,2,FALSE)</f>
        <v>Wide Receiver</v>
      </c>
      <c r="E137" t="str">
        <f>MID(H137,FIND("(",H137)+1,FIND(")",H137)-FIND("(",H137)-1)</f>
        <v>S12</v>
      </c>
      <c r="F137" t="s">
        <v>376</v>
      </c>
      <c r="G137">
        <f t="shared" si="8"/>
        <v>167</v>
      </c>
      <c r="H137" t="s">
        <v>144</v>
      </c>
    </row>
    <row r="138" spans="1:8" x14ac:dyDescent="0.25">
      <c r="A138">
        <f t="shared" si="6"/>
        <v>1</v>
      </c>
      <c r="B138">
        <f t="shared" si="7"/>
        <v>10541</v>
      </c>
      <c r="C138" t="str">
        <f>[1]!RegExpSubstitute(MID(H138,FIND("- ",H138)+2,FIND("- ",H138,FIND("- ",H138)+1)-FIND("- ",H138)-2),"\&amp;quot\;.*\&amp;quot\;\W","")</f>
        <v xml:space="preserve">Grayson Kuusela </v>
      </c>
      <c r="D138" t="str">
        <f>VLOOKUP(SUBSTITUTE(TRIM(MID(H138,FIND(",TPE:",H138)-3,3)),"- ",""),Index!D:E,2,FALSE)</f>
        <v>Defensive Line</v>
      </c>
      <c r="E138" t="str">
        <f>MID(H138,FIND("(",H138)+1,FIND(")",H138)-FIND("(",H138)-1)</f>
        <v>S12</v>
      </c>
      <c r="F138" t="s">
        <v>376</v>
      </c>
      <c r="G138">
        <f t="shared" si="8"/>
        <v>442</v>
      </c>
      <c r="H138" t="s">
        <v>268</v>
      </c>
    </row>
    <row r="139" spans="1:8" x14ac:dyDescent="0.25">
      <c r="A139">
        <f t="shared" si="6"/>
        <v>1</v>
      </c>
      <c r="B139">
        <f t="shared" si="7"/>
        <v>10476</v>
      </c>
      <c r="C139" t="str">
        <f>[1]!RegExpSubstitute(MID(H139,FIND("- ",H139)+2,FIND("- ",H139,FIND("- ",H139)+1)-FIND("- ",H139)-2),"\&amp;quot\;.*\&amp;quot\;\W","")</f>
        <v xml:space="preserve">Aksel Danielsson </v>
      </c>
      <c r="D139" t="str">
        <f>VLOOKUP(SUBSTITUTE(TRIM(MID(H139,FIND(",TPE:",H139)-3,3)),"- ",""),Index!D:E,2,FALSE)</f>
        <v>Runningback</v>
      </c>
      <c r="E139" t="str">
        <f>MID(H139,FIND("(",H139)+1,FIND(")",H139)-FIND("(",H139)-1)</f>
        <v>S12</v>
      </c>
      <c r="F139" t="s">
        <v>376</v>
      </c>
      <c r="G139">
        <f t="shared" si="8"/>
        <v>412</v>
      </c>
      <c r="H139" t="s">
        <v>145</v>
      </c>
    </row>
    <row r="140" spans="1:8" x14ac:dyDescent="0.25">
      <c r="A140">
        <f t="shared" si="6"/>
        <v>1</v>
      </c>
      <c r="B140">
        <f t="shared" si="7"/>
        <v>10133</v>
      </c>
      <c r="C140" t="str">
        <f>[1]!RegExpSubstitute(MID(H140,FIND("- ",H140)+2,FIND("- ",H140,FIND("- ",H140)+1)-FIND("- ",H140)-2),"\&amp;quot\;.*\&amp;quot\;\W","")</f>
        <v xml:space="preserve">Gordon Ramsey Jr. </v>
      </c>
      <c r="D140" t="str">
        <f>VLOOKUP(SUBSTITUTE(TRIM(MID(H140,FIND(",TPE:",H140)-3,3)),"- ",""),Index!D:E,2,FALSE)</f>
        <v>Cornerback</v>
      </c>
      <c r="E140" t="str">
        <f>MID(H140,FIND("(",H140)+1,FIND(")",H140)-FIND("(",H140)-1)</f>
        <v>S11</v>
      </c>
      <c r="F140" t="s">
        <v>376</v>
      </c>
      <c r="G140">
        <f t="shared" si="8"/>
        <v>213</v>
      </c>
      <c r="H140" t="s">
        <v>146</v>
      </c>
    </row>
    <row r="141" spans="1:8" x14ac:dyDescent="0.25">
      <c r="A141">
        <f t="shared" si="6"/>
        <v>1</v>
      </c>
      <c r="B141">
        <f t="shared" si="7"/>
        <v>10048</v>
      </c>
      <c r="C141" t="str">
        <f>[1]!RegExpSubstitute(MID(H141,FIND("- ",H141)+2,FIND("- ",H141,FIND("- ",H141)+1)-FIND("- ",H141)-2),"\&amp;quot\;.*\&amp;quot\;\W","")</f>
        <v xml:space="preserve">Franklin Townsend </v>
      </c>
      <c r="D141" t="str">
        <f>VLOOKUP(SUBSTITUTE(TRIM(MID(H141,FIND(",TPE:",H141)-3,3)),"- ",""),Index!D:E,2,FALSE)</f>
        <v>Defensive Line</v>
      </c>
      <c r="E141" t="str">
        <f>MID(H141,FIND("(",H141)+1,FIND(")",H141)-FIND("(",H141)-1)</f>
        <v>S11</v>
      </c>
      <c r="F141" t="s">
        <v>376</v>
      </c>
      <c r="G141">
        <f t="shared" si="8"/>
        <v>94</v>
      </c>
      <c r="H141" t="s">
        <v>147</v>
      </c>
    </row>
    <row r="142" spans="1:8" x14ac:dyDescent="0.25">
      <c r="A142">
        <f t="shared" si="6"/>
        <v>1</v>
      </c>
      <c r="B142">
        <f t="shared" si="7"/>
        <v>9846</v>
      </c>
      <c r="C142" t="str">
        <f>[1]!RegExpSubstitute(MID(H142,FIND("- ",H142)+2,FIND("- ",H142,FIND("- ",H142)+1)-FIND("- ",H142)-2),"\&amp;quot\;.*\&amp;quot\;\W","")</f>
        <v xml:space="preserve">Thjalfi Halvorsen </v>
      </c>
      <c r="D142" t="str">
        <f>VLOOKUP(SUBSTITUTE(TRIM(MID(H142,FIND(",TPE:",H142)-3,3)),"- ",""),Index!D:E,2,FALSE)</f>
        <v>Wide Receiver</v>
      </c>
      <c r="E142" t="str">
        <f>MID(H142,FIND("(",H142)+1,FIND(")",H142)-FIND("(",H142)-1)</f>
        <v>S11</v>
      </c>
      <c r="F142" t="s">
        <v>376</v>
      </c>
      <c r="G142">
        <f t="shared" si="8"/>
        <v>212</v>
      </c>
      <c r="H142" t="s">
        <v>148</v>
      </c>
    </row>
    <row r="143" spans="1:8" x14ac:dyDescent="0.25">
      <c r="A143">
        <f t="shared" si="6"/>
        <v>1</v>
      </c>
      <c r="B143">
        <f t="shared" si="7"/>
        <v>9453</v>
      </c>
      <c r="C143" t="str">
        <f>[1]!RegExpSubstitute(MID(H143,FIND("- ",H143)+2,FIND("- ",H143,FIND("- ",H143)+1)-FIND("- ",H143)-2),"\&amp;quot\;.*\&amp;quot\;\W","")</f>
        <v xml:space="preserve">Lo Rax </v>
      </c>
      <c r="D143" t="str">
        <f>VLOOKUP(SUBSTITUTE(TRIM(MID(H143,FIND(",TPE:",H143)-3,3)),"- ",""),Index!D:E,2,FALSE)</f>
        <v>Defensive Line</v>
      </c>
      <c r="E143" t="str">
        <f>MID(H143,FIND("(",H143)+1,FIND(")",H143)-FIND("(",H143)-1)</f>
        <v>S10</v>
      </c>
      <c r="F143" t="s">
        <v>376</v>
      </c>
      <c r="G143">
        <f t="shared" si="8"/>
        <v>703</v>
      </c>
      <c r="H143" t="s">
        <v>269</v>
      </c>
    </row>
    <row r="144" spans="1:8" x14ac:dyDescent="0.25">
      <c r="A144">
        <f t="shared" si="6"/>
        <v>1</v>
      </c>
      <c r="B144">
        <f t="shared" si="7"/>
        <v>9461</v>
      </c>
      <c r="C144" t="str">
        <f>[1]!RegExpSubstitute(MID(H144,FIND("- ",H144)+2,FIND("- ",H144,FIND("- ",H144)+1)-FIND("- ",H144)-2),"\&amp;quot\;.*\&amp;quot\;\W","")</f>
        <v xml:space="preserve">Damien Arnold </v>
      </c>
      <c r="D144" t="str">
        <f>VLOOKUP(SUBSTITUTE(TRIM(MID(H144,FIND(",TPE:",H144)-3,3)),"- ",""),Index!D:E,2,FALSE)</f>
        <v>Safety</v>
      </c>
      <c r="E144" t="str">
        <f>MID(H144,FIND("(",H144)+1,FIND(")",H144)-FIND("(",H144)-1)</f>
        <v>S10</v>
      </c>
      <c r="F144" t="s">
        <v>376</v>
      </c>
      <c r="G144">
        <f t="shared" si="8"/>
        <v>279</v>
      </c>
      <c r="H144" t="s">
        <v>149</v>
      </c>
    </row>
    <row r="145" spans="1:8" x14ac:dyDescent="0.25">
      <c r="A145">
        <f t="shared" si="6"/>
        <v>1</v>
      </c>
      <c r="B145">
        <f t="shared" si="7"/>
        <v>8932</v>
      </c>
      <c r="C145" t="str">
        <f>[1]!RegExpSubstitute(MID(H145,FIND("- ",H145)+2,FIND("- ",H145,FIND("- ",H145)+1)-FIND("- ",H145)-2),"\&amp;quot\;.*\&amp;quot\;\W","")</f>
        <v xml:space="preserve">Jesse Marchand </v>
      </c>
      <c r="D145" t="str">
        <f>VLOOKUP(SUBSTITUTE(TRIM(MID(H145,FIND(",TPE:",H145)-3,3)),"- ",""),Index!D:E,2,FALSE)</f>
        <v>Linebacker</v>
      </c>
      <c r="E145" t="str">
        <f>MID(H145,FIND("(",H145)+1,FIND(")",H145)-FIND("(",H145)-1)</f>
        <v>S9</v>
      </c>
      <c r="F145" t="s">
        <v>376</v>
      </c>
      <c r="G145">
        <f t="shared" si="8"/>
        <v>250</v>
      </c>
      <c r="H145" t="s">
        <v>150</v>
      </c>
    </row>
    <row r="146" spans="1:8" x14ac:dyDescent="0.25">
      <c r="A146">
        <f t="shared" si="6"/>
        <v>1</v>
      </c>
      <c r="B146">
        <f t="shared" si="7"/>
        <v>8797</v>
      </c>
      <c r="C146" t="str">
        <f>[1]!RegExpSubstitute(MID(H146,FIND("- ",H146)+2,FIND("- ",H146,FIND("- ",H146)+1)-FIND("- ",H146)-2),"\&amp;quot\;.*\&amp;quot\;\W","")</f>
        <v xml:space="preserve">Barnaby Earl </v>
      </c>
      <c r="D146" t="str">
        <f>VLOOKUP(SUBSTITUTE(TRIM(MID(H146,FIND(",TPE:",H146)-3,3)),"- ",""),Index!D:E,2,FALSE)</f>
        <v>Linebacker</v>
      </c>
      <c r="E146" t="str">
        <f>MID(H146,FIND("(",H146)+1,FIND(")",H146)-FIND("(",H146)-1)</f>
        <v>S9</v>
      </c>
      <c r="F146" t="s">
        <v>376</v>
      </c>
      <c r="G146">
        <f t="shared" si="8"/>
        <v>214</v>
      </c>
      <c r="H146" t="s">
        <v>151</v>
      </c>
    </row>
    <row r="147" spans="1:8" x14ac:dyDescent="0.25">
      <c r="A147">
        <f t="shared" si="6"/>
        <v>1</v>
      </c>
      <c r="B147">
        <f t="shared" si="7"/>
        <v>8626</v>
      </c>
      <c r="C147" t="str">
        <f>[1]!RegExpSubstitute(MID(H147,FIND("- ",H147)+2,FIND("- ",H147,FIND("- ",H147)+1)-FIND("- ",H147)-2),"\&amp;quot\;.*\&amp;quot\;\W","")</f>
        <v xml:space="preserve">Daquan Richardson </v>
      </c>
      <c r="D147" t="str">
        <f>VLOOKUP(SUBSTITUTE(TRIM(MID(H147,FIND(",TPE:",H147)-3,3)),"- ",""),Index!D:E,2,FALSE)</f>
        <v>Cornerback</v>
      </c>
      <c r="E147" t="str">
        <f>MID(H147,FIND("(",H147)+1,FIND(")",H147)-FIND("(",H147)-1)</f>
        <v>S9</v>
      </c>
      <c r="F147" t="s">
        <v>376</v>
      </c>
      <c r="G147">
        <f t="shared" si="8"/>
        <v>77</v>
      </c>
      <c r="H147" t="s">
        <v>135</v>
      </c>
    </row>
    <row r="148" spans="1:8" x14ac:dyDescent="0.25">
      <c r="A148">
        <f t="shared" si="6"/>
        <v>1</v>
      </c>
      <c r="B148">
        <f t="shared" si="7"/>
        <v>7941</v>
      </c>
      <c r="C148" t="str">
        <f>[1]!RegExpSubstitute(MID(H148,FIND("- ",H148)+2,FIND("- ",H148,FIND("- ",H148)+1)-FIND("- ",H148)-2),"\&amp;quot\;.*\&amp;quot\;\W","")</f>
        <v xml:space="preserve">Beat Meoff </v>
      </c>
      <c r="D148" t="str">
        <f>VLOOKUP(SUBSTITUTE(TRIM(MID(H148,FIND(",TPE:",H148)-3,3)),"- ",""),Index!D:E,2,FALSE)</f>
        <v>Kicker</v>
      </c>
      <c r="E148" t="str">
        <f>MID(H148,FIND("(",H148)+1,FIND(")",H148)-FIND("(",H148)-1)</f>
        <v>S8</v>
      </c>
      <c r="F148" t="s">
        <v>376</v>
      </c>
      <c r="G148">
        <f t="shared" si="8"/>
        <v>170</v>
      </c>
      <c r="H148" t="s">
        <v>152</v>
      </c>
    </row>
    <row r="149" spans="1:8" x14ac:dyDescent="0.25">
      <c r="A149">
        <f t="shared" si="6"/>
        <v>1</v>
      </c>
      <c r="B149">
        <f t="shared" si="7"/>
        <v>7904</v>
      </c>
      <c r="C149" t="str">
        <f>[1]!RegExpSubstitute(MID(H149,FIND("- ",H149)+2,FIND("- ",H149,FIND("- ",H149)+1)-FIND("- ",H149)-2),"\&amp;quot\;.*\&amp;quot\;\W","")</f>
        <v xml:space="preserve">William H. Harrison </v>
      </c>
      <c r="D149" t="str">
        <f>VLOOKUP(SUBSTITUTE(TRIM(MID(H149,FIND(",TPE:",H149)-3,3)),"- ",""),Index!D:E,2,FALSE)</f>
        <v>Safety</v>
      </c>
      <c r="E149" t="str">
        <f>MID(H149,FIND("(",H149)+1,FIND(")",H149)-FIND("(",H149)-1)</f>
        <v>S8</v>
      </c>
      <c r="F149" t="s">
        <v>376</v>
      </c>
      <c r="G149">
        <f t="shared" si="8"/>
        <v>895</v>
      </c>
      <c r="H149" t="s">
        <v>270</v>
      </c>
    </row>
    <row r="150" spans="1:8" x14ac:dyDescent="0.25">
      <c r="A150">
        <f t="shared" si="6"/>
        <v>1</v>
      </c>
      <c r="B150">
        <f t="shared" si="7"/>
        <v>7650</v>
      </c>
      <c r="C150" t="str">
        <f>[1]!RegExpSubstitute(MID(H150,FIND("- ",H150)+2,FIND("- ",H150,FIND("- ",H150)+1)-FIND("- ",H150)-2),"\&amp;quot\;.*\&amp;quot\;\W","")</f>
        <v xml:space="preserve">Vladimir Fyodorovich </v>
      </c>
      <c r="D150" t="str">
        <f>VLOOKUP(SUBSTITUTE(TRIM(MID(H150,FIND(",TPE:",H150)-3,3)),"- ",""),Index!D:E,2,FALSE)</f>
        <v>Wide Receiver</v>
      </c>
      <c r="E150" t="str">
        <f>MID(H150,FIND("(",H150)+1,FIND(")",H150)-FIND("(",H150)-1)</f>
        <v>S7</v>
      </c>
      <c r="F150" t="s">
        <v>376</v>
      </c>
      <c r="G150">
        <f t="shared" si="8"/>
        <v>1178</v>
      </c>
      <c r="H150" t="s">
        <v>271</v>
      </c>
    </row>
    <row r="151" spans="1:8" x14ac:dyDescent="0.25">
      <c r="A151">
        <f t="shared" si="6"/>
        <v>1</v>
      </c>
      <c r="B151">
        <f t="shared" si="7"/>
        <v>6596</v>
      </c>
      <c r="C151" t="str">
        <f>[1]!RegExpSubstitute(MID(H151,FIND("- ",H151)+2,FIND("- ",H151,FIND("- ",H151)+1)-FIND("- ",H151)-2),"\&amp;quot\;.*\&amp;quot\;\W","")</f>
        <v xml:space="preserve">Borkus Maximus III </v>
      </c>
      <c r="D151" t="str">
        <f>VLOOKUP(SUBSTITUTE(TRIM(MID(H151,FIND(",TPE:",H151)-3,3)),"- ",""),Index!D:E,2,FALSE)</f>
        <v>Quarterback</v>
      </c>
      <c r="E151" t="str">
        <f>MID(H151,FIND("(",H151)+1,FIND(")",H151)-FIND("(",H151)-1)</f>
        <v>S6</v>
      </c>
      <c r="F151" t="s">
        <v>376</v>
      </c>
      <c r="G151">
        <f t="shared" si="8"/>
        <v>901</v>
      </c>
      <c r="H151" t="s">
        <v>153</v>
      </c>
    </row>
    <row r="152" spans="1:8" x14ac:dyDescent="0.25">
      <c r="A152">
        <f t="shared" si="6"/>
        <v>1</v>
      </c>
      <c r="B152">
        <f t="shared" si="7"/>
        <v>11463</v>
      </c>
      <c r="C152" t="str">
        <f>[1]!RegExpSubstitute(MID(H152,FIND("- ",H152)+2,FIND("- ",H152,FIND("- ",H152)+1)-FIND("- ",H152)-2),"\&amp;quot\;.*\&amp;quot\;\W","")</f>
        <v xml:space="preserve">Johnny Blaze </v>
      </c>
      <c r="D152" t="str">
        <f>VLOOKUP(SUBSTITUTE(TRIM(MID(H152,FIND(",TPE:",H152)-3,3)),"- ",""),Index!D:E,2,FALSE)</f>
        <v>Tight End</v>
      </c>
      <c r="E152" t="str">
        <f>MID(H152,FIND("(",H152)+1,FIND(")",H152)-FIND("(",H152)-1)</f>
        <v>S13</v>
      </c>
      <c r="F152" t="s">
        <v>377</v>
      </c>
      <c r="G152">
        <f t="shared" si="8"/>
        <v>264</v>
      </c>
      <c r="H152" t="s">
        <v>154</v>
      </c>
    </row>
    <row r="153" spans="1:8" x14ac:dyDescent="0.25">
      <c r="A153">
        <f t="shared" si="6"/>
        <v>1</v>
      </c>
      <c r="B153">
        <f t="shared" si="7"/>
        <v>11206</v>
      </c>
      <c r="C153" t="str">
        <f>[1]!RegExpSubstitute(MID(H153,FIND("- ",H153)+2,FIND("- ",H153,FIND("- ",H153)+1)-FIND("- ",H153)-2),"\&amp;quot\;.*\&amp;quot\;\W","")</f>
        <v xml:space="preserve">David Ginsberg </v>
      </c>
      <c r="D153" t="str">
        <f>VLOOKUP(SUBSTITUTE(TRIM(MID(H153,FIND(",TPE:",H153)-3,3)),"- ",""),Index!D:E,2,FALSE)</f>
        <v>Linebacker</v>
      </c>
      <c r="E153" t="str">
        <f>MID(H153,FIND("(",H153)+1,FIND(")",H153)-FIND("(",H153)-1)</f>
        <v>S13</v>
      </c>
      <c r="F153" t="s">
        <v>377</v>
      </c>
      <c r="G153">
        <f t="shared" si="8"/>
        <v>304</v>
      </c>
      <c r="H153" t="s">
        <v>272</v>
      </c>
    </row>
    <row r="154" spans="1:8" x14ac:dyDescent="0.25">
      <c r="A154">
        <f t="shared" si="6"/>
        <v>1</v>
      </c>
      <c r="B154">
        <f t="shared" si="7"/>
        <v>10982</v>
      </c>
      <c r="C154" t="str">
        <f>[1]!RegExpSubstitute(MID(H154,FIND("- ",H154)+2,FIND("- ",H154,FIND("- ",H154)+1)-FIND("- ",H154)-2),"\&amp;quot\;.*\&amp;quot\;\W","")</f>
        <v xml:space="preserve">Tommy Salami </v>
      </c>
      <c r="D154" t="str">
        <f>VLOOKUP(SUBSTITUTE(TRIM(MID(H154,FIND(",TPE:",H154)-3,3)),"- ",""),Index!D:E,2,FALSE)</f>
        <v>Defensive Line</v>
      </c>
      <c r="E154" t="str">
        <f>MID(H154,FIND("(",H154)+1,FIND(")",H154)-FIND("(",H154)-1)</f>
        <v>S12</v>
      </c>
      <c r="F154" t="s">
        <v>377</v>
      </c>
      <c r="G154">
        <f t="shared" si="8"/>
        <v>216</v>
      </c>
      <c r="H154" t="s">
        <v>155</v>
      </c>
    </row>
    <row r="155" spans="1:8" x14ac:dyDescent="0.25">
      <c r="A155">
        <f t="shared" si="6"/>
        <v>1</v>
      </c>
      <c r="B155">
        <f t="shared" si="7"/>
        <v>10643</v>
      </c>
      <c r="C155" t="str">
        <f>[1]!RegExpSubstitute(MID(H155,FIND("- ",H155)+2,FIND("- ",H155,FIND("- ",H155)+1)-FIND("- ",H155)-2),"\&amp;quot\;.*\&amp;quot\;\W","")</f>
        <v xml:space="preserve">Django Anoa'i </v>
      </c>
      <c r="D155" t="str">
        <f>VLOOKUP(SUBSTITUTE(TRIM(MID(H155,FIND(",TPE:",H155)-3,3)),"- ",""),Index!D:E,2,FALSE)</f>
        <v>Wide Receiver</v>
      </c>
      <c r="E155" t="str">
        <f>MID(H155,FIND("(",H155)+1,FIND(")",H155)-FIND("(",H155)-1)</f>
        <v>S12</v>
      </c>
      <c r="F155" t="s">
        <v>377</v>
      </c>
      <c r="G155">
        <f t="shared" si="8"/>
        <v>340</v>
      </c>
      <c r="H155" t="s">
        <v>273</v>
      </c>
    </row>
    <row r="156" spans="1:8" x14ac:dyDescent="0.25">
      <c r="A156">
        <f t="shared" si="6"/>
        <v>1</v>
      </c>
      <c r="B156">
        <f t="shared" si="7"/>
        <v>10568</v>
      </c>
      <c r="C156" t="str">
        <f>[1]!RegExpSubstitute(MID(H156,FIND("- ",H156)+2,FIND("- ",H156,FIND("- ",H156)+1)-FIND("- ",H156)-2),"\&amp;quot\;.*\&amp;quot\;\W","")</f>
        <v xml:space="preserve">Thorian Skarsgard </v>
      </c>
      <c r="D156" t="str">
        <f>VLOOKUP(SUBSTITUTE(TRIM(MID(H156,FIND(",TPE:",H156)-3,3)),"- ",""),Index!D:E,2,FALSE)</f>
        <v>Defensive Line</v>
      </c>
      <c r="E156" t="str">
        <f>MID(H156,FIND("(",H156)+1,FIND(")",H156)-FIND("(",H156)-1)</f>
        <v>S12</v>
      </c>
      <c r="F156" t="s">
        <v>377</v>
      </c>
      <c r="G156">
        <f t="shared" si="8"/>
        <v>562</v>
      </c>
      <c r="H156" t="s">
        <v>274</v>
      </c>
    </row>
    <row r="157" spans="1:8" x14ac:dyDescent="0.25">
      <c r="A157">
        <f t="shared" si="6"/>
        <v>1</v>
      </c>
      <c r="B157">
        <f t="shared" si="7"/>
        <v>10206</v>
      </c>
      <c r="C157" t="str">
        <f>[1]!RegExpSubstitute(MID(H157,FIND("- ",H157)+2,FIND("- ",H157,FIND("- ",H157)+1)-FIND("- ",H157)-2),"\&amp;quot\;.*\&amp;quot\;\W","")</f>
        <v xml:space="preserve">Jonathan Rice </v>
      </c>
      <c r="D157" t="str">
        <f>VLOOKUP(SUBSTITUTE(TRIM(MID(H157,FIND(",TPE:",H157)-3,3)),"- ",""),Index!D:E,2,FALSE)</f>
        <v>Cornerback</v>
      </c>
      <c r="E157" t="str">
        <f>MID(H157,FIND("(",H157)+1,FIND(")",H157)-FIND("(",H157)-1)</f>
        <v>S11</v>
      </c>
      <c r="F157" t="s">
        <v>377</v>
      </c>
      <c r="G157">
        <f t="shared" si="8"/>
        <v>421</v>
      </c>
      <c r="H157" t="s">
        <v>156</v>
      </c>
    </row>
    <row r="158" spans="1:8" x14ac:dyDescent="0.25">
      <c r="A158">
        <f t="shared" si="6"/>
        <v>1</v>
      </c>
      <c r="B158">
        <f t="shared" si="7"/>
        <v>10056</v>
      </c>
      <c r="C158" t="str">
        <f>[1]!RegExpSubstitute(MID(H158,FIND("- ",H158)+2,FIND("- ",H158,FIND("- ",H158)+1)-FIND("- ",H158)-2),"\&amp;quot\;.*\&amp;quot\;\W","")</f>
        <v xml:space="preserve">Dan Schneider </v>
      </c>
      <c r="D158" t="str">
        <f>VLOOKUP(SUBSTITUTE(TRIM(MID(H158,FIND(",TPE:",H158)-3,3)),"- ",""),Index!D:E,2,FALSE)</f>
        <v>Safety</v>
      </c>
      <c r="E158" t="str">
        <f>MID(H158,FIND("(",H158)+1,FIND(")",H158)-FIND("(",H158)-1)</f>
        <v>S11</v>
      </c>
      <c r="F158" t="s">
        <v>377</v>
      </c>
      <c r="G158">
        <f t="shared" si="8"/>
        <v>711</v>
      </c>
      <c r="H158" t="s">
        <v>275</v>
      </c>
    </row>
    <row r="159" spans="1:8" x14ac:dyDescent="0.25">
      <c r="A159">
        <f t="shared" si="6"/>
        <v>1</v>
      </c>
      <c r="B159">
        <f t="shared" si="7"/>
        <v>9991</v>
      </c>
      <c r="C159" t="str">
        <f>[1]!RegExpSubstitute(MID(H159,FIND("- ",H159)+2,FIND("- ",H159,FIND("- ",H159)+1)-FIND("- ",H159)-2),"\&amp;quot\;.*\&amp;quot\;\W","")</f>
        <v xml:space="preserve">Tana Keïta </v>
      </c>
      <c r="D159" t="str">
        <f>VLOOKUP(SUBSTITUTE(TRIM(MID(H159,FIND(",TPE:",H159)-3,3)),"- ",""),Index!D:E,2,FALSE)</f>
        <v>Linebacker</v>
      </c>
      <c r="E159" t="str">
        <f>MID(H159,FIND("(",H159)+1,FIND(")",H159)-FIND("(",H159)-1)</f>
        <v>S11</v>
      </c>
      <c r="F159" t="s">
        <v>377</v>
      </c>
      <c r="G159">
        <f t="shared" si="8"/>
        <v>615</v>
      </c>
      <c r="H159" t="s">
        <v>276</v>
      </c>
    </row>
    <row r="160" spans="1:8" x14ac:dyDescent="0.25">
      <c r="A160">
        <f t="shared" si="6"/>
        <v>1</v>
      </c>
      <c r="B160">
        <f t="shared" si="7"/>
        <v>9997</v>
      </c>
      <c r="C160" t="str">
        <f>[1]!RegExpSubstitute(MID(H160,FIND("- ",H160)+2,FIND("- ",H160,FIND("- ",H160)+1)-FIND("- ",H160)-2),"\&amp;quot\;.*\&amp;quot\;\W","")</f>
        <v xml:space="preserve">Marc Spector </v>
      </c>
      <c r="D160" t="str">
        <f>VLOOKUP(SUBSTITUTE(TRIM(MID(H160,FIND(",TPE:",H160)-3,3)),"- ",""),Index!D:E,2,FALSE)</f>
        <v>Cornerback</v>
      </c>
      <c r="E160" t="str">
        <f>MID(H160,FIND("(",H160)+1,FIND(")",H160)-FIND("(",H160)-1)</f>
        <v>S11</v>
      </c>
      <c r="F160" t="s">
        <v>377</v>
      </c>
      <c r="G160">
        <f t="shared" si="8"/>
        <v>520</v>
      </c>
      <c r="H160" t="s">
        <v>157</v>
      </c>
    </row>
    <row r="161" spans="1:8" x14ac:dyDescent="0.25">
      <c r="A161">
        <f t="shared" si="6"/>
        <v>1</v>
      </c>
      <c r="B161">
        <f t="shared" si="7"/>
        <v>9850</v>
      </c>
      <c r="C161" t="str">
        <f>[1]!RegExpSubstitute(MID(H161,FIND("- ",H161)+2,FIND("- ",H161,FIND("- ",H161)+1)-FIND("- ",H161)-2),"\&amp;quot\;.*\&amp;quot\;\W","")</f>
        <v xml:space="preserve">Sunnycursed </v>
      </c>
      <c r="D161" t="str">
        <f>VLOOKUP(SUBSTITUTE(TRIM(MID(H161,FIND(",TPE:",H161)-3,3)),"- ",""),Index!D:E,2,FALSE)</f>
        <v>Wide Receiver</v>
      </c>
      <c r="E161" t="str">
        <f>MID(H161,FIND("(",H161)+1,FIND(")",H161)-FIND("(",H161)-1)</f>
        <v>S11</v>
      </c>
      <c r="F161" t="s">
        <v>377</v>
      </c>
      <c r="G161">
        <f t="shared" si="8"/>
        <v>780</v>
      </c>
      <c r="H161" t="s">
        <v>277</v>
      </c>
    </row>
    <row r="162" spans="1:8" x14ac:dyDescent="0.25">
      <c r="A162">
        <f t="shared" si="6"/>
        <v>1</v>
      </c>
      <c r="B162">
        <f t="shared" si="7"/>
        <v>9776</v>
      </c>
      <c r="C162" t="str">
        <f>[1]!RegExpSubstitute(MID(H162,FIND("- ",H162)+2,FIND("- ",H162,FIND("- ",H162)+1)-FIND("- ",H162)-2),"\&amp;quot\;.*\&amp;quot\;\W","")</f>
        <v xml:space="preserve">Adam Anderson </v>
      </c>
      <c r="D162" t="str">
        <f>VLOOKUP(SUBSTITUTE(TRIM(MID(H162,FIND(",TPE:",H162)-3,3)),"- ",""),Index!D:E,2,FALSE)</f>
        <v>Kicker</v>
      </c>
      <c r="E162" t="str">
        <f>MID(H162,FIND("(",H162)+1,FIND(")",H162)-FIND("(",H162)-1)</f>
        <v>S10</v>
      </c>
      <c r="F162" t="s">
        <v>377</v>
      </c>
      <c r="G162">
        <f t="shared" si="8"/>
        <v>140</v>
      </c>
      <c r="H162" t="s">
        <v>158</v>
      </c>
    </row>
    <row r="163" spans="1:8" x14ac:dyDescent="0.25">
      <c r="A163">
        <f t="shared" si="6"/>
        <v>1</v>
      </c>
      <c r="B163">
        <f t="shared" si="7"/>
        <v>9741</v>
      </c>
      <c r="C163" t="str">
        <f>[1]!RegExpSubstitute(MID(H163,FIND("- ",H163)+2,FIND("- ",H163,FIND("- ",H163)+1)-FIND("- ",H163)-2),"\&amp;quot\;.*\&amp;quot\;\W","")</f>
        <v xml:space="preserve">Seer Zephyrous </v>
      </c>
      <c r="D163" t="str">
        <f>VLOOKUP(SUBSTITUTE(TRIM(MID(H163,FIND(",TPE:",H163)-3,3)),"- ",""),Index!D:E,2,FALSE)</f>
        <v>Runningback</v>
      </c>
      <c r="E163" t="str">
        <f>MID(H163,FIND("(",H163)+1,FIND(")",H163)-FIND("(",H163)-1)</f>
        <v>S10</v>
      </c>
      <c r="F163" t="s">
        <v>377</v>
      </c>
      <c r="G163">
        <f t="shared" si="8"/>
        <v>382</v>
      </c>
      <c r="H163" t="s">
        <v>159</v>
      </c>
    </row>
    <row r="164" spans="1:8" x14ac:dyDescent="0.25">
      <c r="A164">
        <f t="shared" si="6"/>
        <v>1</v>
      </c>
      <c r="B164">
        <f t="shared" si="7"/>
        <v>9290</v>
      </c>
      <c r="C164" t="str">
        <f>[1]!RegExpSubstitute(MID(H164,FIND("- ",H164)+2,FIND("- ",H164,FIND("- ",H164)+1)-FIND("- ",H164)-2),"\&amp;quot\;.*\&amp;quot\;\W","")</f>
        <v xml:space="preserve">Danny Grithead </v>
      </c>
      <c r="D164" t="str">
        <f>VLOOKUP(SUBSTITUTE(TRIM(MID(H164,FIND(",TPE:",H164)-3,3)),"- ",""),Index!D:E,2,FALSE)</f>
        <v>Safety</v>
      </c>
      <c r="E164" t="str">
        <f>MID(H164,FIND("(",H164)+1,FIND(")",H164)-FIND("(",H164)-1)</f>
        <v>S10</v>
      </c>
      <c r="F164" t="s">
        <v>377</v>
      </c>
      <c r="G164">
        <f t="shared" si="8"/>
        <v>994</v>
      </c>
      <c r="H164" t="s">
        <v>278</v>
      </c>
    </row>
    <row r="165" spans="1:8" x14ac:dyDescent="0.25">
      <c r="A165">
        <f t="shared" si="6"/>
        <v>1</v>
      </c>
      <c r="B165">
        <f t="shared" si="7"/>
        <v>8771</v>
      </c>
      <c r="C165" t="str">
        <f>[1]!RegExpSubstitute(MID(H165,FIND("- ",H165)+2,FIND("- ",H165,FIND("- ",H165)+1)-FIND("- ",H165)-2),"\&amp;quot\;.*\&amp;quot\;\W","")</f>
        <v xml:space="preserve">Gus T.T. Showbiz </v>
      </c>
      <c r="D165" t="str">
        <f>VLOOKUP(SUBSTITUTE(TRIM(MID(H165,FIND(",TPE:",H165)-3,3)),"- ",""),Index!D:E,2,FALSE)</f>
        <v>Quarterback</v>
      </c>
      <c r="E165" t="str">
        <f>MID(H165,FIND("(",H165)+1,FIND(")",H165)-FIND("(",H165)-1)</f>
        <v>S9</v>
      </c>
      <c r="F165" t="s">
        <v>377</v>
      </c>
      <c r="G165">
        <f t="shared" si="8"/>
        <v>976</v>
      </c>
      <c r="H165" t="s">
        <v>160</v>
      </c>
    </row>
    <row r="166" spans="1:8" x14ac:dyDescent="0.25">
      <c r="A166">
        <f t="shared" si="6"/>
        <v>1</v>
      </c>
      <c r="B166">
        <f t="shared" si="7"/>
        <v>8740</v>
      </c>
      <c r="C166" t="str">
        <f>[1]!RegExpSubstitute(MID(H166,FIND("- ",H166)+2,FIND("- ",H166,FIND("- ",H166)+1)-FIND("- ",H166)-2),"\&amp;quot\;.*\&amp;quot\;\W","")</f>
        <v xml:space="preserve">Ricky Adams </v>
      </c>
      <c r="D166" t="str">
        <f>VLOOKUP(SUBSTITUTE(TRIM(MID(H166,FIND(",TPE:",H166)-3,3)),"- ",""),Index!D:E,2,FALSE)</f>
        <v>Runningback</v>
      </c>
      <c r="E166" t="str">
        <f>MID(H166,FIND("(",H166)+1,FIND(")",H166)-FIND("(",H166)-1)</f>
        <v>S9</v>
      </c>
      <c r="F166" t="s">
        <v>377</v>
      </c>
      <c r="G166">
        <f t="shared" si="8"/>
        <v>702</v>
      </c>
      <c r="H166" t="s">
        <v>279</v>
      </c>
    </row>
    <row r="167" spans="1:8" x14ac:dyDescent="0.25">
      <c r="A167">
        <f t="shared" si="6"/>
        <v>1</v>
      </c>
      <c r="B167">
        <f t="shared" si="7"/>
        <v>8552</v>
      </c>
      <c r="C167" t="str">
        <f>[1]!RegExpSubstitute(MID(H167,FIND("- ",H167)+2,FIND("- ",H167,FIND("- ",H167)+1)-FIND("- ",H167)-2),"\&amp;quot\;.*\&amp;quot\;\W","")</f>
        <v xml:space="preserve">Young Spaghetti </v>
      </c>
      <c r="D167" t="str">
        <f>VLOOKUP(SUBSTITUTE(TRIM(MID(H167,FIND(",TPE:",H167)-3,3)),"- ",""),Index!D:E,2,FALSE)</f>
        <v>Defensive Line</v>
      </c>
      <c r="E167" t="str">
        <f>MID(H167,FIND("(",H167)+1,FIND(")",H167)-FIND("(",H167)-1)</f>
        <v>S9</v>
      </c>
      <c r="F167" t="s">
        <v>377</v>
      </c>
      <c r="G167">
        <f t="shared" si="8"/>
        <v>110</v>
      </c>
      <c r="H167" t="s">
        <v>161</v>
      </c>
    </row>
    <row r="168" spans="1:8" x14ac:dyDescent="0.25">
      <c r="A168">
        <f t="shared" si="6"/>
        <v>1</v>
      </c>
      <c r="B168">
        <f t="shared" si="7"/>
        <v>7834</v>
      </c>
      <c r="C168" t="str">
        <f>[1]!RegExpSubstitute(MID(H168,FIND("- ",H168)+2,FIND("- ",H168,FIND("- ",H168)+1)-FIND("- ",H168)-2),"\&amp;quot\;.*\&amp;quot\;\W","")</f>
        <v xml:space="preserve">Rickey Ramero </v>
      </c>
      <c r="D168" t="str">
        <f>VLOOKUP(SUBSTITUTE(TRIM(MID(H168,FIND(",TPE:",H168)-3,3)),"- ",""),Index!D:E,2,FALSE)</f>
        <v>Defensive Line</v>
      </c>
      <c r="E168" t="str">
        <f>MID(H168,FIND("(",H168)+1,FIND(")",H168)-FIND("(",H168)-1)</f>
        <v>S8</v>
      </c>
      <c r="F168" t="s">
        <v>377</v>
      </c>
      <c r="G168">
        <f t="shared" si="8"/>
        <v>551</v>
      </c>
      <c r="H168" t="s">
        <v>162</v>
      </c>
    </row>
    <row r="169" spans="1:8" x14ac:dyDescent="0.25">
      <c r="A169">
        <f t="shared" si="6"/>
        <v>1</v>
      </c>
      <c r="B169">
        <f t="shared" si="7"/>
        <v>7823</v>
      </c>
      <c r="C169" t="str">
        <f>[1]!RegExpSubstitute(MID(H169,FIND("- ",H169)+2,FIND("- ",H169,FIND("- ",H169)+1)-FIND("- ",H169)-2),"\&amp;quot\;.*\&amp;quot\;\W","")</f>
        <v xml:space="preserve">Mason Brown </v>
      </c>
      <c r="D169" t="str">
        <f>VLOOKUP(SUBSTITUTE(TRIM(MID(H169,FIND(",TPE:",H169)-3,3)),"- ",""),Index!D:E,2,FALSE)</f>
        <v>Safety</v>
      </c>
      <c r="E169" t="str">
        <f>MID(H169,FIND("(",H169)+1,FIND(")",H169)-FIND("(",H169)-1)</f>
        <v>S7</v>
      </c>
      <c r="F169" t="s">
        <v>377</v>
      </c>
      <c r="G169">
        <f t="shared" si="8"/>
        <v>811</v>
      </c>
      <c r="H169" t="s">
        <v>163</v>
      </c>
    </row>
    <row r="170" spans="1:8" x14ac:dyDescent="0.25">
      <c r="A170">
        <f t="shared" si="6"/>
        <v>1</v>
      </c>
      <c r="B170">
        <f t="shared" si="7"/>
        <v>6550</v>
      </c>
      <c r="C170" t="str">
        <f>[1]!RegExpSubstitute(MID(H170,FIND("- ",H170)+2,FIND("- ",H170,FIND("- ",H170)+1)-FIND("- ",H170)-2),"\&amp;quot\;.*\&amp;quot\;\W","")</f>
        <v xml:space="preserve">Jaylon Broxton </v>
      </c>
      <c r="D170" t="str">
        <f>VLOOKUP(SUBSTITUTE(TRIM(MID(H170,FIND(",TPE:",H170)-3,3)),"- ",""),Index!D:E,2,FALSE)</f>
        <v>Safety</v>
      </c>
      <c r="E170" t="str">
        <f>MID(H170,FIND("(",H170)+1,FIND(")",H170)-FIND("(",H170)-1)</f>
        <v>S6</v>
      </c>
      <c r="F170" t="s">
        <v>377</v>
      </c>
      <c r="G170">
        <f t="shared" si="8"/>
        <v>894</v>
      </c>
      <c r="H170" t="s">
        <v>164</v>
      </c>
    </row>
    <row r="171" spans="1:8" x14ac:dyDescent="0.25">
      <c r="A171">
        <f t="shared" si="6"/>
        <v>1</v>
      </c>
      <c r="B171">
        <f t="shared" si="7"/>
        <v>6250</v>
      </c>
      <c r="C171" t="str">
        <f>[1]!RegExpSubstitute(MID(H171,FIND("- ",H171)+2,FIND("- ",H171,FIND("- ",H171)+1)-FIND("- ",H171)-2),"\&amp;quot\;.*\&amp;quot\;\W","")</f>
        <v xml:space="preserve">Glenn McPoyal </v>
      </c>
      <c r="D171" t="str">
        <f>VLOOKUP(SUBSTITUTE(TRIM(MID(H171,FIND(",TPE:",H171)-3,3)),"- ",""),Index!D:E,2,FALSE)</f>
        <v>Tight End</v>
      </c>
      <c r="E171" t="str">
        <f>MID(H171,FIND("(",H171)+1,FIND(")",H171)-FIND("(",H171)-1)</f>
        <v>S6</v>
      </c>
      <c r="F171" t="s">
        <v>377</v>
      </c>
      <c r="G171">
        <f t="shared" si="8"/>
        <v>336</v>
      </c>
      <c r="H171" t="s">
        <v>165</v>
      </c>
    </row>
    <row r="172" spans="1:8" x14ac:dyDescent="0.25">
      <c r="A172">
        <f t="shared" si="6"/>
        <v>1</v>
      </c>
      <c r="B172">
        <f t="shared" si="7"/>
        <v>5326</v>
      </c>
      <c r="C172" t="str">
        <f>[1]!RegExpSubstitute(MID(H172,FIND("- ",H172)+2,FIND("- ",H172,FIND("- ",H172)+1)-FIND("- ",H172)-2),"\&amp;quot\;.*\&amp;quot\;\W","")</f>
        <v xml:space="preserve">Ryan Sierra </v>
      </c>
      <c r="D172" t="str">
        <f>VLOOKUP(SUBSTITUTE(TRIM(MID(H172,FIND(",TPE:",H172)-3,3)),"- ",""),Index!D:E,2,FALSE)</f>
        <v>Defensive Line</v>
      </c>
      <c r="E172" t="str">
        <f>MID(H172,FIND("(",H172)+1,FIND(")",H172)-FIND("(",H172)-1)</f>
        <v>S5</v>
      </c>
      <c r="F172" t="s">
        <v>377</v>
      </c>
      <c r="G172">
        <f t="shared" si="8"/>
        <v>175</v>
      </c>
      <c r="H172" t="s">
        <v>211</v>
      </c>
    </row>
    <row r="173" spans="1:8" x14ac:dyDescent="0.25">
      <c r="A173">
        <f t="shared" si="6"/>
        <v>1</v>
      </c>
      <c r="B173">
        <f t="shared" si="7"/>
        <v>5103</v>
      </c>
      <c r="C173" t="str">
        <f>[1]!RegExpSubstitute(MID(H173,FIND("- ",H173)+2,FIND("- ",H173,FIND("- ",H173)+1)-FIND("- ",H173)-2),"\&amp;quot\;.*\&amp;quot\;\W","")</f>
        <v xml:space="preserve">Carlito Crush </v>
      </c>
      <c r="D173" t="str">
        <f>VLOOKUP(SUBSTITUTE(TRIM(MID(H173,FIND(",TPE:",H173)-3,3)),"- ",""),Index!D:E,2,FALSE)</f>
        <v>Wide Receiver</v>
      </c>
      <c r="E173" t="str">
        <f>MID(H173,FIND("(",H173)+1,FIND(")",H173)-FIND("(",H173)-1)</f>
        <v>S5</v>
      </c>
      <c r="F173" t="s">
        <v>377</v>
      </c>
      <c r="G173">
        <f t="shared" si="8"/>
        <v>776</v>
      </c>
      <c r="H173" t="s">
        <v>280</v>
      </c>
    </row>
    <row r="174" spans="1:8" x14ac:dyDescent="0.25">
      <c r="A174">
        <f t="shared" si="6"/>
        <v>1</v>
      </c>
      <c r="B174">
        <f t="shared" si="7"/>
        <v>11418</v>
      </c>
      <c r="C174" t="str">
        <f>[1]!RegExpSubstitute(MID(H174,FIND("- ",H174)+2,FIND("- ",H174,FIND("- ",H174)+1)-FIND("- ",H174)-2),"\&amp;quot\;.*\&amp;quot\;\W","")</f>
        <v xml:space="preserve">Ladarius Ansong </v>
      </c>
      <c r="D174" t="str">
        <f>VLOOKUP(SUBSTITUTE(TRIM(MID(H174,FIND(",TPE:",H174)-3,3)),"- ",""),Index!D:E,2,FALSE)</f>
        <v>Tight End</v>
      </c>
      <c r="E174" t="str">
        <f>MID(H174,FIND("(",H174)+1,FIND(")",H174)-FIND("(",H174)-1)</f>
        <v>S13</v>
      </c>
      <c r="F174" t="s">
        <v>378</v>
      </c>
      <c r="G174">
        <f t="shared" si="8"/>
        <v>50</v>
      </c>
      <c r="H174" t="s">
        <v>212</v>
      </c>
    </row>
    <row r="175" spans="1:8" x14ac:dyDescent="0.25">
      <c r="A175">
        <f t="shared" si="6"/>
        <v>1</v>
      </c>
      <c r="B175">
        <f t="shared" si="7"/>
        <v>11075</v>
      </c>
      <c r="C175" t="str">
        <f>[1]!RegExpSubstitute(MID(H175,FIND("- ",H175)+2,FIND("- ",H175,FIND("- ",H175)+1)-FIND("- ",H175)-2),"\&amp;quot\;.*\&amp;quot\;\W","")</f>
        <v xml:space="preserve">Harvey Danger </v>
      </c>
      <c r="D175" t="str">
        <f>VLOOKUP(SUBSTITUTE(TRIM(MID(H175,FIND(",TPE:",H175)-3,3)),"- ",""),Index!D:E,2,FALSE)</f>
        <v>Tight End</v>
      </c>
      <c r="E175" t="str">
        <f>MID(H175,FIND("(",H175)+1,FIND(")",H175)-FIND("(",H175)-1)</f>
        <v>S13</v>
      </c>
      <c r="F175" t="s">
        <v>378</v>
      </c>
      <c r="G175">
        <f t="shared" si="8"/>
        <v>67</v>
      </c>
      <c r="H175" t="s">
        <v>119</v>
      </c>
    </row>
    <row r="176" spans="1:8" x14ac:dyDescent="0.25">
      <c r="A176">
        <f t="shared" si="6"/>
        <v>1</v>
      </c>
      <c r="B176">
        <f t="shared" si="7"/>
        <v>10984</v>
      </c>
      <c r="C176" t="str">
        <f>[1]!RegExpSubstitute(MID(H176,FIND("- ",H176)+2,FIND("- ",H176,FIND("- ",H176)+1)-FIND("- ",H176)-2),"\&amp;quot\;.*\&amp;quot\;\W","")</f>
        <v xml:space="preserve">Shane Trigg </v>
      </c>
      <c r="D176" t="str">
        <f>VLOOKUP(SUBSTITUTE(TRIM(MID(H176,FIND(",TPE:",H176)-3,3)),"- ",""),Index!D:E,2,FALSE)</f>
        <v>Defensive Line</v>
      </c>
      <c r="E176" t="str">
        <f>MID(H176,FIND("(",H176)+1,FIND(")",H176)-FIND("(",H176)-1)</f>
        <v>S12</v>
      </c>
      <c r="F176" t="s">
        <v>378</v>
      </c>
      <c r="G176">
        <f t="shared" si="8"/>
        <v>50</v>
      </c>
      <c r="H176" t="s">
        <v>120</v>
      </c>
    </row>
    <row r="177" spans="1:8" x14ac:dyDescent="0.25">
      <c r="A177">
        <f t="shared" si="6"/>
        <v>1</v>
      </c>
      <c r="B177">
        <f t="shared" si="7"/>
        <v>9857</v>
      </c>
      <c r="C177" t="str">
        <f>[1]!RegExpSubstitute(MID(H177,FIND("- ",H177)+2,FIND("- ",H177,FIND("- ",H177)+1)-FIND("- ",H177)-2),"\&amp;quot\;.*\&amp;quot\;\W","")</f>
        <v xml:space="preserve">Kick Puncher </v>
      </c>
      <c r="D177" t="str">
        <f>VLOOKUP(SUBSTITUTE(TRIM(MID(H177,FIND(",TPE:",H177)-3,3)),"- ",""),Index!D:E,2,FALSE)</f>
        <v>Kicker</v>
      </c>
      <c r="E177" t="str">
        <f>MID(H177,FIND("(",H177)+1,FIND(")",H177)-FIND("(",H177)-1)</f>
        <v>S11</v>
      </c>
      <c r="F177" t="s">
        <v>378</v>
      </c>
      <c r="G177">
        <f t="shared" si="8"/>
        <v>76</v>
      </c>
      <c r="H177" t="s">
        <v>412</v>
      </c>
    </row>
    <row r="178" spans="1:8" x14ac:dyDescent="0.25">
      <c r="A178">
        <f t="shared" si="6"/>
        <v>1</v>
      </c>
      <c r="B178">
        <f t="shared" si="7"/>
        <v>9836</v>
      </c>
      <c r="C178" t="str">
        <f>[1]!RegExpSubstitute(MID(H178,FIND("- ",H178)+2,FIND("- ",H178,FIND("- ",H178)+1)-FIND("- ",H178)-2),"\&amp;quot\;.*\&amp;quot\;\W","")</f>
        <v xml:space="preserve">Blake Bishop </v>
      </c>
      <c r="D178" t="str">
        <f>VLOOKUP(SUBSTITUTE(TRIM(MID(H178,FIND(",TPE:",H178)-3,3)),"- ",""),Index!D:E,2,FALSE)</f>
        <v>Quarterback</v>
      </c>
      <c r="E178" t="str">
        <f>MID(H178,FIND("(",H178)+1,FIND(")",H178)-FIND("(",H178)-1)</f>
        <v>S11</v>
      </c>
      <c r="F178" t="s">
        <v>378</v>
      </c>
      <c r="G178">
        <f t="shared" si="8"/>
        <v>50</v>
      </c>
      <c r="H178" t="s">
        <v>121</v>
      </c>
    </row>
    <row r="179" spans="1:8" x14ac:dyDescent="0.25">
      <c r="A179">
        <f t="shared" si="6"/>
        <v>1</v>
      </c>
      <c r="B179">
        <f t="shared" si="7"/>
        <v>9738</v>
      </c>
      <c r="C179" t="str">
        <f>[1]!RegExpSubstitute(MID(H179,FIND("- ",H179)+2,FIND("- ",H179,FIND("- ",H179)+1)-FIND("- ",H179)-2),"\&amp;quot\;.*\&amp;quot\;\W","")</f>
        <v xml:space="preserve">Augustin LaDande </v>
      </c>
      <c r="D179" t="str">
        <f>VLOOKUP(SUBSTITUTE(TRIM(MID(H179,FIND(",TPE:",H179)-3,3)),"- ",""),Index!D:E,2,FALSE)</f>
        <v>Wide Receiver</v>
      </c>
      <c r="E179" t="str">
        <f>MID(H179,FIND("(",H179)+1,FIND(")",H179)-FIND("(",H179)-1)</f>
        <v>S10</v>
      </c>
      <c r="F179" t="s">
        <v>378</v>
      </c>
      <c r="G179">
        <f t="shared" si="8"/>
        <v>50</v>
      </c>
      <c r="H179" t="s">
        <v>122</v>
      </c>
    </row>
    <row r="180" spans="1:8" x14ac:dyDescent="0.25">
      <c r="A180">
        <f t="shared" si="6"/>
        <v>1</v>
      </c>
      <c r="B180">
        <f t="shared" si="7"/>
        <v>9730</v>
      </c>
      <c r="C180" t="str">
        <f>[1]!RegExpSubstitute(MID(H180,FIND("- ",H180)+2,FIND("- ",H180,FIND("- ",H180)+1)-FIND("- ",H180)-2),"\&amp;quot\;.*\&amp;quot\;\W","")</f>
        <v xml:space="preserve">Lanoi Arnold </v>
      </c>
      <c r="D180" t="str">
        <f>VLOOKUP(SUBSTITUTE(TRIM(MID(H180,FIND(",TPE:",H180)-3,3)),"- ",""),Index!D:E,2,FALSE)</f>
        <v>Defensive Line</v>
      </c>
      <c r="E180" t="str">
        <f>MID(H180,FIND("(",H180)+1,FIND(")",H180)-FIND("(",H180)-1)</f>
        <v>S10</v>
      </c>
      <c r="F180" t="s">
        <v>378</v>
      </c>
      <c r="G180">
        <f t="shared" si="8"/>
        <v>50</v>
      </c>
      <c r="H180" t="s">
        <v>72</v>
      </c>
    </row>
    <row r="181" spans="1:8" x14ac:dyDescent="0.25">
      <c r="A181">
        <f t="shared" si="6"/>
        <v>1</v>
      </c>
      <c r="B181">
        <f t="shared" si="7"/>
        <v>9726</v>
      </c>
      <c r="C181" t="str">
        <f>[1]!RegExpSubstitute(MID(H181,FIND("- ",H181)+2,FIND("- ",H181,FIND("- ",H181)+1)-FIND("- ",H181)-2),"\&amp;quot\;.*\&amp;quot\;\W","")</f>
        <v xml:space="preserve">Ray Slick </v>
      </c>
      <c r="D181" t="str">
        <f>VLOOKUP(SUBSTITUTE(TRIM(MID(H181,FIND(",TPE:",H181)-3,3)),"- ",""),Index!D:E,2,FALSE)</f>
        <v>Linebacker</v>
      </c>
      <c r="E181" t="str">
        <f>MID(H181,FIND("(",H181)+1,FIND(")",H181)-FIND("(",H181)-1)</f>
        <v>S10</v>
      </c>
      <c r="F181" t="s">
        <v>378</v>
      </c>
      <c r="G181">
        <f t="shared" si="8"/>
        <v>57</v>
      </c>
      <c r="H181" t="s">
        <v>123</v>
      </c>
    </row>
    <row r="182" spans="1:8" x14ac:dyDescent="0.25">
      <c r="A182">
        <f t="shared" si="6"/>
        <v>1</v>
      </c>
      <c r="B182">
        <f t="shared" si="7"/>
        <v>9540</v>
      </c>
      <c r="C182" t="str">
        <f>[1]!RegExpSubstitute(MID(H182,FIND("- ",H182)+2,FIND("- ",H182,FIND("- ",H182)+1)-FIND("- ",H182)-2),"\&amp;quot\;.*\&amp;quot\;\W","")</f>
        <v xml:space="preserve">Adam Krossman </v>
      </c>
      <c r="D182" t="str">
        <f>VLOOKUP(SUBSTITUTE(TRIM(MID(H182,FIND(",TPE:",H182)-3,3)),"- ",""),Index!D:E,2,FALSE)</f>
        <v>Runningback</v>
      </c>
      <c r="E182" t="str">
        <f>MID(H182,FIND("(",H182)+1,FIND(")",H182)-FIND("(",H182)-1)</f>
        <v>S10</v>
      </c>
      <c r="F182" t="s">
        <v>378</v>
      </c>
      <c r="G182">
        <f t="shared" si="8"/>
        <v>76</v>
      </c>
      <c r="H182" t="s">
        <v>124</v>
      </c>
    </row>
    <row r="183" spans="1:8" x14ac:dyDescent="0.25">
      <c r="A183">
        <f t="shared" si="6"/>
        <v>1</v>
      </c>
      <c r="B183">
        <f t="shared" si="7"/>
        <v>9504</v>
      </c>
      <c r="C183" t="str">
        <f>[1]!RegExpSubstitute(MID(H183,FIND("- ",H183)+2,FIND("- ",H183,FIND("- ",H183)+1)-FIND("- ",H183)-2),"\&amp;quot\;.*\&amp;quot\;\W","")</f>
        <v xml:space="preserve">Ricky Flores </v>
      </c>
      <c r="D183" t="str">
        <f>VLOOKUP(SUBSTITUTE(TRIM(MID(H183,FIND(",TPE:",H183)-3,3)),"- ",""),Index!D:E,2,FALSE)</f>
        <v>Runningback</v>
      </c>
      <c r="E183" t="str">
        <f>MID(H183,FIND("(",H183)+1,FIND(")",H183)-FIND("(",H183)-1)</f>
        <v>S10</v>
      </c>
      <c r="F183" t="s">
        <v>378</v>
      </c>
      <c r="G183">
        <f t="shared" si="8"/>
        <v>90</v>
      </c>
      <c r="H183" t="s">
        <v>125</v>
      </c>
    </row>
    <row r="184" spans="1:8" x14ac:dyDescent="0.25">
      <c r="A184">
        <f t="shared" si="6"/>
        <v>1</v>
      </c>
      <c r="B184">
        <f t="shared" si="7"/>
        <v>9364</v>
      </c>
      <c r="C184" t="str">
        <f>[1]!RegExpSubstitute(MID(H184,FIND("- ",H184)+2,FIND("- ",H184,FIND("- ",H184)+1)-FIND("- ",H184)-2),"\&amp;quot\;.*\&amp;quot\;\W","")</f>
        <v xml:space="preserve">Zenyou Wozy </v>
      </c>
      <c r="D184" t="str">
        <f>VLOOKUP(SUBSTITUTE(TRIM(MID(H184,FIND(",TPE:",H184)-3,3)),"- ",""),Index!D:E,2,FALSE)</f>
        <v>Quarterback</v>
      </c>
      <c r="E184" t="str">
        <f>MID(H184,FIND("(",H184)+1,FIND(")",H184)-FIND("(",H184)-1)</f>
        <v>S10</v>
      </c>
      <c r="F184" t="s">
        <v>378</v>
      </c>
      <c r="G184">
        <f t="shared" si="8"/>
        <v>358</v>
      </c>
      <c r="H184" t="s">
        <v>126</v>
      </c>
    </row>
    <row r="185" spans="1:8" x14ac:dyDescent="0.25">
      <c r="A185">
        <f t="shared" si="6"/>
        <v>1</v>
      </c>
      <c r="B185">
        <f t="shared" si="7"/>
        <v>9325</v>
      </c>
      <c r="C185" t="str">
        <f>[1]!RegExpSubstitute(MID(H185,FIND("- ",H185)+2,FIND("- ",H185,FIND("- ",H185)+1)-FIND("- ",H185)-2),"\&amp;quot\;.*\&amp;quot\;\W","")</f>
        <v xml:space="preserve">Tanner Hendrix </v>
      </c>
      <c r="D185" t="str">
        <f>VLOOKUP(SUBSTITUTE(TRIM(MID(H185,FIND(",TPE:",H185)-3,3)),"- ",""),Index!D:E,2,FALSE)</f>
        <v>Wide Receiver</v>
      </c>
      <c r="E185" t="str">
        <f>MID(H185,FIND("(",H185)+1,FIND(")",H185)-FIND("(",H185)-1)</f>
        <v>S10</v>
      </c>
      <c r="F185" t="s">
        <v>378</v>
      </c>
      <c r="G185">
        <f t="shared" si="8"/>
        <v>90</v>
      </c>
      <c r="H185" t="s">
        <v>73</v>
      </c>
    </row>
    <row r="186" spans="1:8" x14ac:dyDescent="0.25">
      <c r="A186">
        <f t="shared" si="6"/>
        <v>1</v>
      </c>
      <c r="B186">
        <f t="shared" si="7"/>
        <v>9321</v>
      </c>
      <c r="C186" t="str">
        <f>[1]!RegExpSubstitute(MID(H186,FIND("- ",H186)+2,FIND("- ",H186,FIND("- ",H186)+1)-FIND("- ",H186)-2),"\&amp;quot\;.*\&amp;quot\;\W","")</f>
        <v xml:space="preserve">Taylor Peterson </v>
      </c>
      <c r="D186" t="str">
        <f>VLOOKUP(SUBSTITUTE(TRIM(MID(H186,FIND(",TPE:",H186)-3,3)),"- ",""),Index!D:E,2,FALSE)</f>
        <v>Wide Receiver</v>
      </c>
      <c r="E186" t="str">
        <f>MID(H186,FIND("(",H186)+1,FIND(")",H186)-FIND("(",H186)-1)</f>
        <v>S10</v>
      </c>
      <c r="F186" t="s">
        <v>378</v>
      </c>
      <c r="G186">
        <f t="shared" si="8"/>
        <v>108</v>
      </c>
      <c r="H186" t="s">
        <v>127</v>
      </c>
    </row>
    <row r="187" spans="1:8" x14ac:dyDescent="0.25">
      <c r="A187">
        <f t="shared" si="6"/>
        <v>1</v>
      </c>
      <c r="B187">
        <f t="shared" si="7"/>
        <v>9228</v>
      </c>
      <c r="C187" t="str">
        <f>[1]!RegExpSubstitute(MID(H187,FIND("- ",H187)+2,FIND("- ",H187,FIND("- ",H187)+1)-FIND("- ",H187)-2),"\&amp;quot\;.*\&amp;quot\;\W","")</f>
        <v xml:space="preserve">Con Nair </v>
      </c>
      <c r="D187" t="str">
        <f>VLOOKUP(SUBSTITUTE(TRIM(MID(H187,FIND(",TPE:",H187)-3,3)),"- ",""),Index!D:E,2,FALSE)</f>
        <v>Cornerback</v>
      </c>
      <c r="E187" t="str">
        <f>MID(H187,FIND("(",H187)+1,FIND(")",H187)-FIND("(",H187)-1)</f>
        <v>S10</v>
      </c>
      <c r="F187" t="s">
        <v>378</v>
      </c>
      <c r="G187">
        <f t="shared" si="8"/>
        <v>50</v>
      </c>
      <c r="H187" t="s">
        <v>74</v>
      </c>
    </row>
    <row r="188" spans="1:8" x14ac:dyDescent="0.25">
      <c r="A188">
        <f t="shared" si="6"/>
        <v>1</v>
      </c>
      <c r="B188">
        <f t="shared" si="7"/>
        <v>9132</v>
      </c>
      <c r="C188" t="str">
        <f>[1]!RegExpSubstitute(MID(H188,FIND("- ",H188)+2,FIND("- ",H188,FIND("- ",H188)+1)-FIND("- ",H188)-2),"\&amp;quot\;.*\&amp;quot\;\W","")</f>
        <v xml:space="preserve">Deion Jackson </v>
      </c>
      <c r="D188" t="str">
        <f>VLOOKUP(SUBSTITUTE(TRIM(MID(H188,FIND(",TPE:",H188)-3,3)),"- ",""),Index!D:E,2,FALSE)</f>
        <v>Wide Receiver</v>
      </c>
      <c r="E188" t="str">
        <f>MID(H188,FIND("(",H188)+1,FIND(")",H188)-FIND("(",H188)-1)</f>
        <v>S9</v>
      </c>
      <c r="F188" t="s">
        <v>378</v>
      </c>
      <c r="G188">
        <f t="shared" si="8"/>
        <v>57</v>
      </c>
      <c r="H188" t="s">
        <v>128</v>
      </c>
    </row>
    <row r="189" spans="1:8" x14ac:dyDescent="0.25">
      <c r="A189">
        <f t="shared" si="6"/>
        <v>1</v>
      </c>
      <c r="B189">
        <f t="shared" si="7"/>
        <v>9110</v>
      </c>
      <c r="C189" t="str">
        <f>[1]!RegExpSubstitute(MID(H189,FIND("- ",H189)+2,FIND("- ",H189,FIND("- ",H189)+1)-FIND("- ",H189)-2),"\&amp;quot\;.*\&amp;quot\;\W","")</f>
        <v xml:space="preserve">Fin Jameson </v>
      </c>
      <c r="D189" t="str">
        <f>VLOOKUP(SUBSTITUTE(TRIM(MID(H189,FIND(",TPE:",H189)-3,3)),"- ",""),Index!D:E,2,FALSE)</f>
        <v>Linebacker</v>
      </c>
      <c r="E189" t="str">
        <f>MID(H189,FIND("(",H189)+1,FIND(")",H189)-FIND("(",H189)-1)</f>
        <v>S9</v>
      </c>
      <c r="F189" t="s">
        <v>378</v>
      </c>
      <c r="G189">
        <f t="shared" si="8"/>
        <v>57</v>
      </c>
      <c r="H189" t="s">
        <v>129</v>
      </c>
    </row>
    <row r="190" spans="1:8" x14ac:dyDescent="0.25">
      <c r="A190">
        <f t="shared" si="6"/>
        <v>1</v>
      </c>
      <c r="B190">
        <f t="shared" si="7"/>
        <v>9076</v>
      </c>
      <c r="C190" t="str">
        <f>[1]!RegExpSubstitute(MID(H190,FIND("- ",H190)+2,FIND("- ",H190,FIND("- ",H190)+1)-FIND("- ",H190)-2),"\&amp;quot\;.*\&amp;quot\;\W","")</f>
        <v xml:space="preserve">Andreas Metaxas </v>
      </c>
      <c r="D190" t="str">
        <f>VLOOKUP(SUBSTITUTE(TRIM(MID(H190,FIND(",TPE:",H190)-3,3)),"- ",""),Index!D:E,2,FALSE)</f>
        <v>Quarterback</v>
      </c>
      <c r="E190" t="str">
        <f>MID(H190,FIND("(",H190)+1,FIND(")",H190)-FIND("(",H190)-1)</f>
        <v>S9</v>
      </c>
      <c r="F190" t="s">
        <v>378</v>
      </c>
      <c r="G190">
        <f t="shared" si="8"/>
        <v>381</v>
      </c>
      <c r="H190" t="s">
        <v>130</v>
      </c>
    </row>
    <row r="191" spans="1:8" x14ac:dyDescent="0.25">
      <c r="A191">
        <f t="shared" si="6"/>
        <v>1</v>
      </c>
      <c r="B191">
        <f t="shared" si="7"/>
        <v>8859</v>
      </c>
      <c r="C191" t="str">
        <f>[1]!RegExpSubstitute(MID(H191,FIND("- ",H191)+2,FIND("- ",H191,FIND("- ",H191)+1)-FIND("- ",H191)-2),"\&amp;quot\;.*\&amp;quot\;\W","")</f>
        <v xml:space="preserve">Robert Jordan </v>
      </c>
      <c r="D191" t="str">
        <f>VLOOKUP(SUBSTITUTE(TRIM(MID(H191,FIND(",TPE:",H191)-3,3)),"- ",""),Index!D:E,2,FALSE)</f>
        <v>Linebacker</v>
      </c>
      <c r="E191" t="str">
        <f>MID(H191,FIND("(",H191)+1,FIND(")",H191)-FIND("(",H191)-1)</f>
        <v>S9</v>
      </c>
      <c r="F191" t="s">
        <v>378</v>
      </c>
      <c r="G191">
        <f t="shared" si="8"/>
        <v>60</v>
      </c>
      <c r="H191" t="s">
        <v>131</v>
      </c>
    </row>
    <row r="192" spans="1:8" x14ac:dyDescent="0.25">
      <c r="A192">
        <f t="shared" si="6"/>
        <v>1</v>
      </c>
      <c r="B192">
        <f t="shared" si="7"/>
        <v>8857</v>
      </c>
      <c r="C192" t="str">
        <f>[1]!RegExpSubstitute(MID(H192,FIND("- ",H192)+2,FIND("- ",H192,FIND("- ",H192)+1)-FIND("- ",H192)-2),"\&amp;quot\;.*\&amp;quot\;\W","")</f>
        <v xml:space="preserve">LaMarcus Strike </v>
      </c>
      <c r="D192" t="str">
        <f>VLOOKUP(SUBSTITUTE(TRIM(MID(H192,FIND(",TPE:",H192)-3,3)),"- ",""),Index!D:E,2,FALSE)</f>
        <v>Runningback</v>
      </c>
      <c r="E192" t="str">
        <f>MID(H192,FIND("(",H192)+1,FIND(")",H192)-FIND("(",H192)-1)</f>
        <v>S9</v>
      </c>
      <c r="F192" t="s">
        <v>378</v>
      </c>
      <c r="G192">
        <f t="shared" si="8"/>
        <v>169</v>
      </c>
      <c r="H192" t="s">
        <v>132</v>
      </c>
    </row>
    <row r="193" spans="1:8" x14ac:dyDescent="0.25">
      <c r="A193">
        <f t="shared" si="6"/>
        <v>1</v>
      </c>
      <c r="B193">
        <f t="shared" si="7"/>
        <v>8721</v>
      </c>
      <c r="C193" t="str">
        <f>[1]!RegExpSubstitute(MID(H193,FIND("- ",H193)+2,FIND("- ",H193,FIND("- ",H193)+1)-FIND("- ",H193)-2),"\&amp;quot\;.*\&amp;quot\;\W","")</f>
        <v xml:space="preserve">Ricardo Jones </v>
      </c>
      <c r="D193" t="str">
        <f>VLOOKUP(SUBSTITUTE(TRIM(MID(H193,FIND(",TPE:",H193)-3,3)),"- ",""),Index!D:E,2,FALSE)</f>
        <v>Wide Receiver</v>
      </c>
      <c r="E193" t="str">
        <f>MID(H193,FIND("(",H193)+1,FIND(")",H193)-FIND("(",H193)-1)</f>
        <v>S9</v>
      </c>
      <c r="F193" t="s">
        <v>378</v>
      </c>
      <c r="G193">
        <f t="shared" si="8"/>
        <v>79</v>
      </c>
      <c r="H193" t="s">
        <v>208</v>
      </c>
    </row>
    <row r="194" spans="1:8" x14ac:dyDescent="0.25">
      <c r="A194">
        <f t="shared" ref="A194:A257" si="9">COUNTIF($B$2:$B$375,B194)</f>
        <v>1</v>
      </c>
      <c r="B194">
        <f t="shared" si="7"/>
        <v>8693</v>
      </c>
      <c r="C194" t="str">
        <f>[1]!RegExpSubstitute(MID(H194,FIND("- ",H194)+2,FIND("- ",H194,FIND("- ",H194)+1)-FIND("- ",H194)-2),"\&amp;quot\;.*\&amp;quot\;\W","")</f>
        <v xml:space="preserve">Alsan Arshad </v>
      </c>
      <c r="D194" t="str">
        <f>VLOOKUP(SUBSTITUTE(TRIM(MID(H194,FIND(",TPE:",H194)-3,3)),"- ",""),Index!D:E,2,FALSE)</f>
        <v>Wide Receiver</v>
      </c>
      <c r="E194" t="str">
        <f>MID(H194,FIND("(",H194)+1,FIND(")",H194)-FIND("(",H194)-1)</f>
        <v>S9</v>
      </c>
      <c r="F194" t="s">
        <v>378</v>
      </c>
      <c r="G194">
        <f t="shared" si="8"/>
        <v>71</v>
      </c>
      <c r="H194" t="s">
        <v>133</v>
      </c>
    </row>
    <row r="195" spans="1:8" x14ac:dyDescent="0.25">
      <c r="A195">
        <f t="shared" si="9"/>
        <v>1</v>
      </c>
      <c r="B195">
        <f t="shared" ref="B195:B258" si="10">[1]!Numerize(MID(H195,FIND("=",H195),10))+0</f>
        <v>8634</v>
      </c>
      <c r="C195" t="str">
        <f>[1]!RegExpSubstitute(MID(H195,FIND("- ",H195)+2,FIND("- ",H195,FIND("- ",H195)+1)-FIND("- ",H195)-2),"\&amp;quot\;.*\&amp;quot\;\W","")</f>
        <v xml:space="preserve">Emilio Ramero </v>
      </c>
      <c r="D195" t="str">
        <f>VLOOKUP(SUBSTITUTE(TRIM(MID(H195,FIND(",TPE:",H195)-3,3)),"- ",""),Index!D:E,2,FALSE)</f>
        <v>Kicker</v>
      </c>
      <c r="E195" t="str">
        <f>MID(H195,FIND("(",H195)+1,FIND(")",H195)-FIND("(",H195)-1)</f>
        <v>S9</v>
      </c>
      <c r="F195" t="s">
        <v>378</v>
      </c>
      <c r="G195">
        <f t="shared" ref="G195:G258" si="11">MID(H195,FIND("TPE: ",H195)+5,FIND(", ",H195,FIND("TPE: ",H195))-FIND("TPE: ",H195)-5)+0</f>
        <v>116</v>
      </c>
      <c r="H195" t="s">
        <v>134</v>
      </c>
    </row>
    <row r="196" spans="1:8" x14ac:dyDescent="0.25">
      <c r="A196">
        <f t="shared" si="9"/>
        <v>1</v>
      </c>
      <c r="B196">
        <f t="shared" si="10"/>
        <v>8613</v>
      </c>
      <c r="C196" t="str">
        <f>[1]!RegExpSubstitute(MID(H196,FIND("- ",H196)+2,FIND("- ",H196,FIND("- ",H196)+1)-FIND("- ",H196)-2),"\&amp;quot\;.*\&amp;quot\;\W","")</f>
        <v xml:space="preserve">Deangelo Warren </v>
      </c>
      <c r="D196" t="str">
        <f>VLOOKUP(SUBSTITUTE(TRIM(MID(H196,FIND(",TPE:",H196)-3,3)),"- ",""),Index!D:E,2,FALSE)</f>
        <v>Wide Receiver</v>
      </c>
      <c r="E196" t="str">
        <f>MID(H196,FIND("(",H196)+1,FIND(")",H196)-FIND("(",H196)-1)</f>
        <v>S9</v>
      </c>
      <c r="F196" t="s">
        <v>378</v>
      </c>
      <c r="G196">
        <f t="shared" si="11"/>
        <v>50</v>
      </c>
      <c r="H196" t="s">
        <v>136</v>
      </c>
    </row>
    <row r="197" spans="1:8" x14ac:dyDescent="0.25">
      <c r="A197">
        <f t="shared" si="9"/>
        <v>1</v>
      </c>
      <c r="B197">
        <f t="shared" si="10"/>
        <v>8344</v>
      </c>
      <c r="C197" t="str">
        <f>[1]!RegExpSubstitute(MID(H197,FIND("- ",H197)+2,FIND("- ",H197,FIND("- ",H197)+1)-FIND("- ",H197)-2),"\&amp;quot\;.*\&amp;quot\;\W","")</f>
        <v xml:space="preserve">Klaus DerFisch </v>
      </c>
      <c r="D197" t="str">
        <f>VLOOKUP(SUBSTITUTE(TRIM(MID(H197,FIND(",TPE:",H197)-3,3)),"- ",""),Index!D:E,2,FALSE)</f>
        <v>Kicker</v>
      </c>
      <c r="E197" t="str">
        <f>MID(H197,FIND("(",H197)+1,FIND(")",H197)-FIND("(",H197)-1)</f>
        <v>S8</v>
      </c>
      <c r="F197" t="s">
        <v>378</v>
      </c>
      <c r="G197">
        <f t="shared" si="11"/>
        <v>54</v>
      </c>
      <c r="H197" t="s">
        <v>137</v>
      </c>
    </row>
    <row r="198" spans="1:8" x14ac:dyDescent="0.25">
      <c r="A198">
        <f t="shared" si="9"/>
        <v>1</v>
      </c>
      <c r="B198">
        <f t="shared" si="10"/>
        <v>8297</v>
      </c>
      <c r="C198" t="str">
        <f>[1]!RegExpSubstitute(MID(H198,FIND("- ",H198)+2,FIND("- ",H198,FIND("- ",H198)+1)-FIND("- ",H198)-2),"\&amp;quot\;.*\&amp;quot\;\W","")</f>
        <v xml:space="preserve">Vance Sachs </v>
      </c>
      <c r="D198" t="str">
        <f>VLOOKUP(SUBSTITUTE(TRIM(MID(H198,FIND(",TPE:",H198)-3,3)),"- ",""),Index!D:E,2,FALSE)</f>
        <v>Defensive Line</v>
      </c>
      <c r="E198" t="str">
        <f>MID(H198,FIND("(",H198)+1,FIND(")",H198)-FIND("(",H198)-1)</f>
        <v>S8</v>
      </c>
      <c r="F198" t="s">
        <v>378</v>
      </c>
      <c r="G198">
        <f t="shared" si="11"/>
        <v>81</v>
      </c>
      <c r="H198" t="s">
        <v>138</v>
      </c>
    </row>
    <row r="199" spans="1:8" x14ac:dyDescent="0.25">
      <c r="A199">
        <f t="shared" si="9"/>
        <v>1</v>
      </c>
      <c r="B199">
        <f t="shared" si="10"/>
        <v>8256</v>
      </c>
      <c r="C199" t="str">
        <f>[1]!RegExpSubstitute(MID(H199,FIND("- ",H199)+2,FIND("- ",H199,FIND("- ",H199)+1)-FIND("- ",H199)-2),"\&amp;quot\;.*\&amp;quot\;\W","")</f>
        <v xml:space="preserve">Seth Wallace </v>
      </c>
      <c r="D199" t="str">
        <f>VLOOKUP(SUBSTITUTE(TRIM(MID(H199,FIND(",TPE:",H199)-3,3)),"- ",""),Index!D:E,2,FALSE)</f>
        <v>Runningback</v>
      </c>
      <c r="E199" t="str">
        <f>MID(H199,FIND("(",H199)+1,FIND(")",H199)-FIND("(",H199)-1)</f>
        <v>S8</v>
      </c>
      <c r="F199" t="s">
        <v>378</v>
      </c>
      <c r="G199">
        <f t="shared" si="11"/>
        <v>50</v>
      </c>
      <c r="H199" t="s">
        <v>139</v>
      </c>
    </row>
    <row r="200" spans="1:8" x14ac:dyDescent="0.25">
      <c r="A200">
        <f t="shared" si="9"/>
        <v>1</v>
      </c>
      <c r="B200">
        <f t="shared" si="10"/>
        <v>8249</v>
      </c>
      <c r="C200" t="str">
        <f>[1]!RegExpSubstitute(MID(H200,FIND("- ",H200)+2,FIND("- ",H200,FIND("- ",H200)+1)-FIND("- ",H200)-2),"\&amp;quot\;.*\&amp;quot\;\W","")</f>
        <v xml:space="preserve">Harry Balzac </v>
      </c>
      <c r="D200" t="str">
        <f>VLOOKUP(SUBSTITUTE(TRIM(MID(H200,FIND(",TPE:",H200)-3,3)),"- ",""),Index!D:E,2,FALSE)</f>
        <v>Safety</v>
      </c>
      <c r="E200" t="str">
        <f>MID(H200,FIND("(",H200)+1,FIND(")",H200)-FIND("(",H200)-1)</f>
        <v>S8</v>
      </c>
      <c r="F200" t="s">
        <v>378</v>
      </c>
      <c r="G200">
        <f t="shared" si="11"/>
        <v>50</v>
      </c>
      <c r="H200" t="s">
        <v>140</v>
      </c>
    </row>
    <row r="201" spans="1:8" x14ac:dyDescent="0.25">
      <c r="A201">
        <f t="shared" si="9"/>
        <v>1</v>
      </c>
      <c r="B201">
        <f t="shared" si="10"/>
        <v>8231</v>
      </c>
      <c r="C201" t="str">
        <f>[1]!RegExpSubstitute(MID(H201,FIND("- ",H201)+2,FIND("- ",H201,FIND("- ",H201)+1)-FIND("- ",H201)-2),"\&amp;quot\;.*\&amp;quot\;\W","")</f>
        <v xml:space="preserve">D.J. Riddick </v>
      </c>
      <c r="D201" t="str">
        <f>VLOOKUP(SUBSTITUTE(TRIM(MID(H201,FIND(",TPE:",H201)-3,3)),"- ",""),Index!D:E,2,FALSE)</f>
        <v>Runningback</v>
      </c>
      <c r="E201" t="str">
        <f>MID(H201,FIND("(",H201)+1,FIND(")",H201)-FIND("(",H201)-1)</f>
        <v>S8</v>
      </c>
      <c r="F201" t="s">
        <v>378</v>
      </c>
      <c r="G201">
        <f t="shared" si="11"/>
        <v>124</v>
      </c>
      <c r="H201" t="s">
        <v>141</v>
      </c>
    </row>
    <row r="202" spans="1:8" x14ac:dyDescent="0.25">
      <c r="A202">
        <f t="shared" si="9"/>
        <v>1</v>
      </c>
      <c r="B202">
        <f t="shared" si="10"/>
        <v>8151</v>
      </c>
      <c r="C202" t="str">
        <f>[1]!RegExpSubstitute(MID(H202,FIND("- ",H202)+2,FIND("- ",H202,FIND("- ",H202)+1)-FIND("- ",H202)-2),"\&amp;quot\;.*\&amp;quot\;\W","")</f>
        <v xml:space="preserve">Justin Davis </v>
      </c>
      <c r="D202" t="str">
        <f>VLOOKUP(SUBSTITUTE(TRIM(MID(H202,FIND(",TPE:",H202)-3,3)),"- ",""),Index!D:E,2,FALSE)</f>
        <v>Kicker</v>
      </c>
      <c r="E202" t="str">
        <f>MID(H202,FIND("(",H202)+1,FIND(")",H202)-FIND("(",H202)-1)</f>
        <v>S8</v>
      </c>
      <c r="F202" t="s">
        <v>378</v>
      </c>
      <c r="G202">
        <f t="shared" si="11"/>
        <v>55</v>
      </c>
      <c r="H202" t="s">
        <v>142</v>
      </c>
    </row>
    <row r="203" spans="1:8" x14ac:dyDescent="0.25">
      <c r="A203">
        <f t="shared" si="9"/>
        <v>1</v>
      </c>
      <c r="B203">
        <f t="shared" si="10"/>
        <v>12675</v>
      </c>
      <c r="C203" t="str">
        <f>[1]!RegExpSubstitute(MID(H203,FIND("- ",H203)+2,FIND("- ",H203,FIND("- ",H203)+1)-FIND("- ",H203)-2),"\&amp;quot\;.*\&amp;quot\;\W","")</f>
        <v xml:space="preserve">Jay Quick </v>
      </c>
      <c r="D203" t="str">
        <f>VLOOKUP(SUBSTITUTE(TRIM(MID(H203,FIND(",TPE:",H203)-3,3)),"- ",""),Index!D:E,2,FALSE)</f>
        <v>Runningback</v>
      </c>
      <c r="E203" t="str">
        <f>MID(H203,FIND("(",H203)+1,FIND(")",H203)-FIND("(",H203)-1)</f>
        <v>S15</v>
      </c>
      <c r="F203" t="s">
        <v>379</v>
      </c>
      <c r="G203">
        <f t="shared" si="11"/>
        <v>50</v>
      </c>
      <c r="H203" t="s">
        <v>4</v>
      </c>
    </row>
    <row r="204" spans="1:8" x14ac:dyDescent="0.25">
      <c r="A204">
        <f t="shared" si="9"/>
        <v>1</v>
      </c>
      <c r="B204">
        <f t="shared" si="10"/>
        <v>12518</v>
      </c>
      <c r="C204" t="str">
        <f>[1]!RegExpSubstitute(MID(H204,FIND("- ",H204)+2,FIND("- ",H204,FIND("- ",H204)+1)-FIND("- ",H204)-2),"\&amp;quot\;.*\&amp;quot\;\W","")</f>
        <v xml:space="preserve">Frasier Crane </v>
      </c>
      <c r="D204" t="str">
        <f>VLOOKUP(SUBSTITUTE(TRIM(MID(H204,FIND(",TPE:",H204)-3,3)),"- ",""),Index!D:E,2,FALSE)</f>
        <v>Defensive Line</v>
      </c>
      <c r="E204" t="str">
        <f>MID(H204,FIND("(",H204)+1,FIND(")",H204)-FIND("(",H204)-1)</f>
        <v>S15</v>
      </c>
      <c r="F204" t="s">
        <v>379</v>
      </c>
      <c r="G204">
        <f t="shared" si="11"/>
        <v>106</v>
      </c>
      <c r="H204" t="s">
        <v>281</v>
      </c>
    </row>
    <row r="205" spans="1:8" x14ac:dyDescent="0.25">
      <c r="A205">
        <f t="shared" si="9"/>
        <v>1</v>
      </c>
      <c r="B205">
        <f t="shared" si="10"/>
        <v>12471</v>
      </c>
      <c r="C205" t="str">
        <f>[1]!RegExpSubstitute(MID(H205,FIND("- ",H205)+2,FIND("- ",H205,FIND("- ",H205)+1)-FIND("- ",H205)-2),"\&amp;quot\;.*\&amp;quot\;\W","")</f>
        <v xml:space="preserve">Cedric Parker </v>
      </c>
      <c r="D205" t="str">
        <f>VLOOKUP(SUBSTITUTE(TRIM(MID(H205,FIND(",TPE:",H205)-3,3)),"- ",""),Index!D:E,2,FALSE)</f>
        <v>Wide Receiver</v>
      </c>
      <c r="E205" t="str">
        <f>MID(H205,FIND("(",H205)+1,FIND(")",H205)-FIND("(",H205)-1)</f>
        <v>S15</v>
      </c>
      <c r="F205" t="s">
        <v>379</v>
      </c>
      <c r="G205">
        <f t="shared" si="11"/>
        <v>66</v>
      </c>
      <c r="H205" t="s">
        <v>282</v>
      </c>
    </row>
    <row r="206" spans="1:8" x14ac:dyDescent="0.25">
      <c r="A206">
        <f t="shared" si="9"/>
        <v>1</v>
      </c>
      <c r="B206">
        <f t="shared" si="10"/>
        <v>12348</v>
      </c>
      <c r="C206" t="str">
        <f>[1]!RegExpSubstitute(MID(H206,FIND("- ",H206)+2,FIND("- ",H206,FIND("- ",H206)+1)-FIND("- ",H206)-2),"\&amp;quot\;.*\&amp;quot\;\W","")</f>
        <v xml:space="preserve">Farley Hank </v>
      </c>
      <c r="D206" t="str">
        <f>VLOOKUP(SUBSTITUTE(TRIM(MID(H206,FIND(",TPE:",H206)-3,3)),"- ",""),Index!D:E,2,FALSE)</f>
        <v>Runningback</v>
      </c>
      <c r="E206" t="str">
        <f>MID(H206,FIND("(",H206)+1,FIND(")",H206)-FIND("(",H206)-1)</f>
        <v>S15</v>
      </c>
      <c r="F206" t="s">
        <v>379</v>
      </c>
      <c r="G206">
        <f t="shared" si="11"/>
        <v>82</v>
      </c>
      <c r="H206" t="s">
        <v>283</v>
      </c>
    </row>
    <row r="207" spans="1:8" x14ac:dyDescent="0.25">
      <c r="A207">
        <f t="shared" si="9"/>
        <v>1</v>
      </c>
      <c r="B207">
        <f t="shared" si="10"/>
        <v>12328</v>
      </c>
      <c r="C207" t="str">
        <f>[1]!RegExpSubstitute(MID(H207,FIND("- ",H207)+2,FIND("- ",H207,FIND("- ",H207)+1)-FIND("- ",H207)-2),"\&amp;quot\;.*\&amp;quot\;\W","")</f>
        <v xml:space="preserve">Cameron Olsen </v>
      </c>
      <c r="D207" t="str">
        <f>VLOOKUP(SUBSTITUTE(TRIM(MID(H207,FIND(",TPE:",H207)-3,3)),"- ",""),Index!D:E,2,FALSE)</f>
        <v>Tight End</v>
      </c>
      <c r="E207" t="str">
        <f>MID(H207,FIND("(",H207)+1,FIND(")",H207)-FIND("(",H207)-1)</f>
        <v>S15</v>
      </c>
      <c r="F207" t="s">
        <v>379</v>
      </c>
      <c r="G207">
        <f t="shared" si="11"/>
        <v>144</v>
      </c>
      <c r="H207" t="s">
        <v>284</v>
      </c>
    </row>
    <row r="208" spans="1:8" x14ac:dyDescent="0.25">
      <c r="A208">
        <f t="shared" si="9"/>
        <v>1</v>
      </c>
      <c r="B208">
        <f t="shared" si="10"/>
        <v>12311</v>
      </c>
      <c r="C208" t="str">
        <f>[1]!RegExpSubstitute(MID(H208,FIND("- ",H208)+2,FIND("- ",H208,FIND("- ",H208)+1)-FIND("- ",H208)-2),"\&amp;quot\;.*\&amp;quot\;\W","")</f>
        <v xml:space="preserve">Mick Moekr </v>
      </c>
      <c r="D208" t="str">
        <f>VLOOKUP(SUBSTITUTE(TRIM(MID(H208,FIND(",TPE:",H208)-3,3)),"- ",""),Index!D:E,2,FALSE)</f>
        <v>Defensive Line</v>
      </c>
      <c r="E208" t="str">
        <f>MID(H208,FIND("(",H208)+1,FIND(")",H208)-FIND("(",H208)-1)</f>
        <v>S15</v>
      </c>
      <c r="F208" t="s">
        <v>379</v>
      </c>
      <c r="G208">
        <f t="shared" si="11"/>
        <v>50</v>
      </c>
      <c r="H208" t="s">
        <v>5</v>
      </c>
    </row>
    <row r="209" spans="1:8" x14ac:dyDescent="0.25">
      <c r="A209">
        <f t="shared" si="9"/>
        <v>1</v>
      </c>
      <c r="B209">
        <f t="shared" si="10"/>
        <v>12232</v>
      </c>
      <c r="C209" t="str">
        <f>[1]!RegExpSubstitute(MID(H209,FIND("- ",H209)+2,FIND("- ",H209,FIND("- ",H209)+1)-FIND("- ",H209)-2),"\&amp;quot\;.*\&amp;quot\;\W","")</f>
        <v xml:space="preserve">Terry Taffy </v>
      </c>
      <c r="D209" t="str">
        <f>VLOOKUP(SUBSTITUTE(TRIM(MID(H209,FIND(",TPE:",H209)-3,3)),"- ",""),Index!D:E,2,FALSE)</f>
        <v>Runningback</v>
      </c>
      <c r="E209" t="str">
        <f>MID(H209,FIND("(",H209)+1,FIND(")",H209)-FIND("(",H209)-1)</f>
        <v>S15</v>
      </c>
      <c r="F209" t="s">
        <v>379</v>
      </c>
      <c r="G209">
        <f t="shared" si="11"/>
        <v>145</v>
      </c>
      <c r="H209" t="s">
        <v>285</v>
      </c>
    </row>
    <row r="210" spans="1:8" x14ac:dyDescent="0.25">
      <c r="A210">
        <f t="shared" si="9"/>
        <v>1</v>
      </c>
      <c r="B210">
        <f t="shared" si="10"/>
        <v>12221</v>
      </c>
      <c r="C210" t="str">
        <f>[1]!RegExpSubstitute(MID(H210,FIND("- ",H210)+2,FIND("- ",H210,FIND("- ",H210)+1)-FIND("- ",H210)-2),"\&amp;quot\;.*\&amp;quot\;\W","")</f>
        <v xml:space="preserve">Ryan Leaf Jr </v>
      </c>
      <c r="D210" t="str">
        <f>VLOOKUP(SUBSTITUTE(TRIM(MID(H210,FIND(",TPE:",H210)-3,3)),"- ",""),Index!D:E,2,FALSE)</f>
        <v>Quarterback</v>
      </c>
      <c r="E210" t="str">
        <f>MID(H210,FIND("(",H210)+1,FIND(")",H210)-FIND("(",H210)-1)</f>
        <v>S15</v>
      </c>
      <c r="F210" t="s">
        <v>379</v>
      </c>
      <c r="G210">
        <f t="shared" si="11"/>
        <v>69</v>
      </c>
      <c r="H210" t="s">
        <v>286</v>
      </c>
    </row>
    <row r="211" spans="1:8" x14ac:dyDescent="0.25">
      <c r="A211">
        <f t="shared" si="9"/>
        <v>1</v>
      </c>
      <c r="B211">
        <f t="shared" si="10"/>
        <v>12218</v>
      </c>
      <c r="C211" t="str">
        <f>[1]!RegExpSubstitute(MID(H211,FIND("- ",H211)+2,FIND("- ",H211,FIND("- ",H211)+1)-FIND("- ",H211)-2),"\&amp;quot\;.*\&amp;quot\;\W","")</f>
        <v xml:space="preserve">Andrew Solomon </v>
      </c>
      <c r="D211" t="str">
        <f>VLOOKUP(SUBSTITUTE(TRIM(MID(H211,FIND(",TPE:",H211)-3,3)),"- ",""),Index!D:E,2,FALSE)</f>
        <v>Cornerback</v>
      </c>
      <c r="E211" t="str">
        <f>MID(H211,FIND("(",H211)+1,FIND(")",H211)-FIND("(",H211)-1)</f>
        <v>S15</v>
      </c>
      <c r="F211" t="s">
        <v>379</v>
      </c>
      <c r="G211">
        <f t="shared" si="11"/>
        <v>52</v>
      </c>
      <c r="H211" t="s">
        <v>287</v>
      </c>
    </row>
    <row r="212" spans="1:8" x14ac:dyDescent="0.25">
      <c r="A212">
        <f t="shared" si="9"/>
        <v>1</v>
      </c>
      <c r="B212">
        <f t="shared" si="10"/>
        <v>12206</v>
      </c>
      <c r="C212" t="str">
        <f>[1]!RegExpSubstitute(MID(H212,FIND("- ",H212)+2,FIND("- ",H212,FIND("- ",H212)+1)-FIND("- ",H212)-2),"\&amp;quot\;.*\&amp;quot\;\W","")</f>
        <v xml:space="preserve">Buddha Lebowski </v>
      </c>
      <c r="D212" t="str">
        <f>VLOOKUP(SUBSTITUTE(TRIM(MID(H212,FIND(",TPE:",H212)-3,3)),"- ",""),Index!D:E,2,FALSE)</f>
        <v>Linebacker</v>
      </c>
      <c r="E212" t="str">
        <f>MID(H212,FIND("(",H212)+1,FIND(")",H212)-FIND("(",H212)-1)</f>
        <v>S15</v>
      </c>
      <c r="F212" t="s">
        <v>379</v>
      </c>
      <c r="G212">
        <f t="shared" si="11"/>
        <v>50</v>
      </c>
      <c r="H212" t="s">
        <v>6</v>
      </c>
    </row>
    <row r="213" spans="1:8" x14ac:dyDescent="0.25">
      <c r="A213">
        <f t="shared" si="9"/>
        <v>1</v>
      </c>
      <c r="B213">
        <f t="shared" si="10"/>
        <v>12091</v>
      </c>
      <c r="C213" t="str">
        <f>[1]!RegExpSubstitute(MID(H213,FIND("- ",H213)+2,FIND("- ",H213,FIND("- ",H213)+1)-FIND("- ",H213)-2),"\&amp;quot\;.*\&amp;quot\;\W","")</f>
        <v xml:space="preserve">Christopher Loren </v>
      </c>
      <c r="D213" t="str">
        <f>VLOOKUP(SUBSTITUTE(TRIM(MID(H213,FIND(",TPE:",H213)-3,3)),"- ",""),Index!D:E,2,FALSE)</f>
        <v>Cornerback</v>
      </c>
      <c r="E213" t="str">
        <f>MID(H213,FIND("(",H213)+1,FIND(")",H213)-FIND("(",H213)-1)</f>
        <v>S15</v>
      </c>
      <c r="F213" t="s">
        <v>379</v>
      </c>
      <c r="G213">
        <f t="shared" si="11"/>
        <v>50</v>
      </c>
      <c r="H213" t="s">
        <v>7</v>
      </c>
    </row>
    <row r="214" spans="1:8" x14ac:dyDescent="0.25">
      <c r="A214">
        <f t="shared" si="9"/>
        <v>1</v>
      </c>
      <c r="B214">
        <f t="shared" si="10"/>
        <v>11990</v>
      </c>
      <c r="C214" t="str">
        <f>[1]!RegExpSubstitute(MID(H214,FIND("- ",H214)+2,FIND("- ",H214,FIND("- ",H214)+1)-FIND("- ",H214)-2),"\&amp;quot\;.*\&amp;quot\;\W","")</f>
        <v xml:space="preserve">Brayden Larosee </v>
      </c>
      <c r="D214" t="str">
        <f>VLOOKUP(SUBSTITUTE(TRIM(MID(H214,FIND(",TPE:",H214)-3,3)),"- ",""),Index!D:E,2,FALSE)</f>
        <v>Safety</v>
      </c>
      <c r="E214" t="str">
        <f>MID(H214,FIND("(",H214)+1,FIND(")",H214)-FIND("(",H214)-1)</f>
        <v>S15</v>
      </c>
      <c r="F214" t="s">
        <v>379</v>
      </c>
      <c r="G214">
        <f t="shared" si="11"/>
        <v>50</v>
      </c>
      <c r="H214" t="s">
        <v>8</v>
      </c>
    </row>
    <row r="215" spans="1:8" x14ac:dyDescent="0.25">
      <c r="A215">
        <f t="shared" si="9"/>
        <v>1</v>
      </c>
      <c r="B215">
        <f t="shared" si="10"/>
        <v>11768</v>
      </c>
      <c r="C215" t="str">
        <f>[1]!RegExpSubstitute(MID(H215,FIND("- ",H215)+2,FIND("- ",H215,FIND("- ",H215)+1)-FIND("- ",H215)-2),"\&amp;quot\;.*\&amp;quot\;\W","")</f>
        <v xml:space="preserve">Cody Kupp </v>
      </c>
      <c r="D215" t="str">
        <f>VLOOKUP(SUBSTITUTE(TRIM(MID(H215,FIND(",TPE:",H215)-3,3)),"- ",""),Index!D:E,2,FALSE)</f>
        <v>Safety</v>
      </c>
      <c r="E215" t="str">
        <f>MID(H215,FIND("(",H215)+1,FIND(")",H215)-FIND("(",H215)-1)</f>
        <v>S14</v>
      </c>
      <c r="F215" t="s">
        <v>379</v>
      </c>
      <c r="G215">
        <f t="shared" si="11"/>
        <v>57</v>
      </c>
      <c r="H215" t="s">
        <v>9</v>
      </c>
    </row>
    <row r="216" spans="1:8" x14ac:dyDescent="0.25">
      <c r="A216">
        <f t="shared" si="9"/>
        <v>1</v>
      </c>
      <c r="B216">
        <f t="shared" si="10"/>
        <v>11742</v>
      </c>
      <c r="C216" t="str">
        <f>[1]!RegExpSubstitute(MID(H216,FIND("- ",H216)+2,FIND("- ",H216,FIND("- ",H216)+1)-FIND("- ",H216)-2),"\&amp;quot\;.*\&amp;quot\;\W","")</f>
        <v xml:space="preserve">Cam Poole </v>
      </c>
      <c r="D216" t="str">
        <f>VLOOKUP(SUBSTITUTE(TRIM(MID(H216,FIND(",TPE:",H216)-3,3)),"- ",""),Index!D:E,2,FALSE)</f>
        <v>Safety</v>
      </c>
      <c r="E216" t="str">
        <f>MID(H216,FIND("(",H216)+1,FIND(")",H216)-FIND("(",H216)-1)</f>
        <v>S14</v>
      </c>
      <c r="F216" t="s">
        <v>379</v>
      </c>
      <c r="G216">
        <f t="shared" si="11"/>
        <v>57</v>
      </c>
      <c r="H216" t="s">
        <v>10</v>
      </c>
    </row>
    <row r="217" spans="1:8" x14ac:dyDescent="0.25">
      <c r="A217">
        <f t="shared" si="9"/>
        <v>1</v>
      </c>
      <c r="B217">
        <f t="shared" si="10"/>
        <v>11678</v>
      </c>
      <c r="C217" t="str">
        <f>[1]!RegExpSubstitute(MID(H217,FIND("- ",H217)+2,FIND("- ",H217,FIND("- ",H217)+1)-FIND("- ",H217)-2),"\&amp;quot\;.*\&amp;quot\;\W","")</f>
        <v xml:space="preserve">Rose Jenkins </v>
      </c>
      <c r="D217" t="str">
        <f>VLOOKUP(SUBSTITUTE(TRIM(MID(H217,FIND(",TPE:",H217)-3,3)),"- ",""),Index!D:E,2,FALSE)</f>
        <v>Quarterback</v>
      </c>
      <c r="E217" t="str">
        <f>MID(H217,FIND("(",H217)+1,FIND(")",H217)-FIND("(",H217)-1)</f>
        <v>S14</v>
      </c>
      <c r="F217" t="s">
        <v>379</v>
      </c>
      <c r="G217">
        <f t="shared" si="11"/>
        <v>294</v>
      </c>
      <c r="H217" t="s">
        <v>288</v>
      </c>
    </row>
    <row r="218" spans="1:8" x14ac:dyDescent="0.25">
      <c r="A218">
        <f t="shared" si="9"/>
        <v>1</v>
      </c>
      <c r="B218">
        <f t="shared" si="10"/>
        <v>11604</v>
      </c>
      <c r="C218" t="str">
        <f>[1]!RegExpSubstitute(MID(H218,FIND("- ",H218)+2,FIND("- ",H218,FIND("- ",H218)+1)-FIND("- ",H218)-2),"\&amp;quot\;.*\&amp;quot\;\W","")</f>
        <v xml:space="preserve">Žak Korošec </v>
      </c>
      <c r="D218" t="str">
        <f>VLOOKUP(SUBSTITUTE(TRIM(MID(H218,FIND(",TPE:",H218)-3,3)),"- ",""),Index!D:E,2,FALSE)</f>
        <v>Kicker</v>
      </c>
      <c r="E218" t="str">
        <f>MID(H218,FIND("(",H218)+1,FIND(")",H218)-FIND("(",H218)-1)</f>
        <v>S14</v>
      </c>
      <c r="F218" t="s">
        <v>379</v>
      </c>
      <c r="G218">
        <f t="shared" si="11"/>
        <v>50</v>
      </c>
      <c r="H218" t="s">
        <v>11</v>
      </c>
    </row>
    <row r="219" spans="1:8" x14ac:dyDescent="0.25">
      <c r="A219">
        <f t="shared" si="9"/>
        <v>1</v>
      </c>
      <c r="B219">
        <f t="shared" si="10"/>
        <v>11580</v>
      </c>
      <c r="C219" t="str">
        <f>[1]!RegExpSubstitute(MID(H219,FIND("- ",H219)+2,FIND("- ",H219,FIND("- ",H219)+1)-FIND("- ",H219)-2),"\&amp;quot\;.*\&amp;quot\;\W","")</f>
        <v xml:space="preserve">Alfredo Crisco </v>
      </c>
      <c r="D219" t="str">
        <f>VLOOKUP(SUBSTITUTE(TRIM(MID(H219,FIND(",TPE:",H219)-3,3)),"- ",""),Index!D:E,2,FALSE)</f>
        <v>Kicker</v>
      </c>
      <c r="E219" t="str">
        <f>MID(H219,FIND("(",H219)+1,FIND(")",H219)-FIND("(",H219)-1)</f>
        <v>S14</v>
      </c>
      <c r="F219" t="s">
        <v>379</v>
      </c>
      <c r="G219">
        <f t="shared" si="11"/>
        <v>135</v>
      </c>
      <c r="H219" t="s">
        <v>289</v>
      </c>
    </row>
    <row r="220" spans="1:8" x14ac:dyDescent="0.25">
      <c r="A220">
        <f t="shared" si="9"/>
        <v>1</v>
      </c>
      <c r="B220">
        <f t="shared" si="10"/>
        <v>11444</v>
      </c>
      <c r="C220" t="str">
        <f>[1]!RegExpSubstitute(MID(H220,FIND("- ",H220)+2,FIND("- ",H220,FIND("- ",H220)+1)-FIND("- ",H220)-2),"\&amp;quot\;.*\&amp;quot\;\W","")</f>
        <v xml:space="preserve">Rembrandt Khalil-Bugatti </v>
      </c>
      <c r="D220" t="str">
        <f>VLOOKUP(SUBSTITUTE(TRIM(MID(H220,FIND(",TPE:",H220)-3,3)),"- ",""),Index!D:E,2,FALSE)</f>
        <v>Defensive Line</v>
      </c>
      <c r="E220" t="str">
        <f>MID(H220,FIND("(",H220)+1,FIND(")",H220)-FIND("(",H220)-1)</f>
        <v>S13</v>
      </c>
      <c r="F220" t="s">
        <v>379</v>
      </c>
      <c r="G220">
        <f t="shared" si="11"/>
        <v>63</v>
      </c>
      <c r="H220" t="s">
        <v>12</v>
      </c>
    </row>
    <row r="221" spans="1:8" x14ac:dyDescent="0.25">
      <c r="A221">
        <f t="shared" si="9"/>
        <v>1</v>
      </c>
      <c r="B221">
        <f t="shared" si="10"/>
        <v>11406</v>
      </c>
      <c r="C221" t="str">
        <f>[1]!RegExpSubstitute(MID(H221,FIND("- ",H221)+2,FIND("- ",H221,FIND("- ",H221)+1)-FIND("- ",H221)-2),"\&amp;quot\;.*\&amp;quot\;\W","")</f>
        <v xml:space="preserve">J.N. Nova </v>
      </c>
      <c r="D221" t="str">
        <f>VLOOKUP(SUBSTITUTE(TRIM(MID(H221,FIND(",TPE:",H221)-3,3)),"- ",""),Index!D:E,2,FALSE)</f>
        <v>Wide Receiver</v>
      </c>
      <c r="E221" t="str">
        <f>MID(H221,FIND("(",H221)+1,FIND(")",H221)-FIND("(",H221)-1)</f>
        <v>S13</v>
      </c>
      <c r="F221" t="s">
        <v>379</v>
      </c>
      <c r="G221">
        <f t="shared" si="11"/>
        <v>108</v>
      </c>
      <c r="H221" t="s">
        <v>13</v>
      </c>
    </row>
    <row r="222" spans="1:8" x14ac:dyDescent="0.25">
      <c r="A222">
        <f t="shared" si="9"/>
        <v>1</v>
      </c>
      <c r="B222">
        <f t="shared" si="10"/>
        <v>10911</v>
      </c>
      <c r="C222" t="str">
        <f>[1]!RegExpSubstitute(MID(H222,FIND("- ",H222)+2,FIND("- ",H222,FIND("- ",H222)+1)-FIND("- ",H222)-2),"\&amp;quot\;.*\&amp;quot\;\W","")</f>
        <v xml:space="preserve">James Wade </v>
      </c>
      <c r="D222" t="str">
        <f>VLOOKUP(SUBSTITUTE(TRIM(MID(H222,FIND(",TPE:",H222)-3,3)),"- ",""),Index!D:E,2,FALSE)</f>
        <v>Runningback</v>
      </c>
      <c r="E222" t="str">
        <f>MID(H222,FIND("(",H222)+1,FIND(")",H222)-FIND("(",H222)-1)</f>
        <v>S12</v>
      </c>
      <c r="F222" t="s">
        <v>379</v>
      </c>
      <c r="G222">
        <f t="shared" si="11"/>
        <v>57</v>
      </c>
      <c r="H222" t="s">
        <v>15</v>
      </c>
    </row>
    <row r="223" spans="1:8" x14ac:dyDescent="0.25">
      <c r="A223">
        <f t="shared" si="9"/>
        <v>1</v>
      </c>
      <c r="B223">
        <f t="shared" si="10"/>
        <v>10792</v>
      </c>
      <c r="C223" t="str">
        <f>[1]!RegExpSubstitute(MID(H223,FIND("- ",H223)+2,FIND("- ",H223,FIND("- ",H223)+1)-FIND("- ",H223)-2),"\&amp;quot\;.*\&amp;quot\;\W","")</f>
        <v xml:space="preserve">Krispy Kreme </v>
      </c>
      <c r="D223" t="str">
        <f>VLOOKUP(SUBSTITUTE(TRIM(MID(H223,FIND(",TPE:",H223)-3,3)),"- ",""),Index!D:E,2,FALSE)</f>
        <v>Wide Receiver</v>
      </c>
      <c r="E223" t="str">
        <f>MID(H223,FIND("(",H223)+1,FIND(")",H223)-FIND("(",H223)-1)</f>
        <v>S12</v>
      </c>
      <c r="F223" t="s">
        <v>379</v>
      </c>
      <c r="G223">
        <f t="shared" si="11"/>
        <v>178</v>
      </c>
      <c r="H223" t="s">
        <v>16</v>
      </c>
    </row>
    <row r="224" spans="1:8" x14ac:dyDescent="0.25">
      <c r="A224">
        <f t="shared" si="9"/>
        <v>1</v>
      </c>
      <c r="B224">
        <f t="shared" si="10"/>
        <v>10523</v>
      </c>
      <c r="C224" t="str">
        <f>[1]!RegExpSubstitute(MID(H224,FIND("- ",H224)+2,FIND("- ",H224,FIND("- ",H224)+1)-FIND("- ",H224)-2),"\&amp;quot\;.*\&amp;quot\;\W","")</f>
        <v xml:space="preserve">Luke Boechler </v>
      </c>
      <c r="D224" t="str">
        <f>VLOOKUP(SUBSTITUTE(TRIM(MID(H224,FIND(",TPE:",H224)-3,3)),"- ",""),Index!D:E,2,FALSE)</f>
        <v>Quarterback</v>
      </c>
      <c r="E224" t="str">
        <f>MID(H224,FIND("(",H224)+1,FIND(")",H224)-FIND("(",H224)-1)</f>
        <v>S12</v>
      </c>
      <c r="F224" t="s">
        <v>379</v>
      </c>
      <c r="G224">
        <f t="shared" si="11"/>
        <v>282</v>
      </c>
      <c r="H224" t="s">
        <v>17</v>
      </c>
    </row>
    <row r="225" spans="1:8" x14ac:dyDescent="0.25">
      <c r="A225">
        <f t="shared" si="9"/>
        <v>1</v>
      </c>
      <c r="B225">
        <f t="shared" si="10"/>
        <v>10449</v>
      </c>
      <c r="C225" t="str">
        <f>[1]!RegExpSubstitute(MID(H225,FIND("- ",H225)+2,FIND("- ",H225,FIND("- ",H225)+1)-FIND("- ",H225)-2),"\&amp;quot\;.*\&amp;quot\;\W","")</f>
        <v xml:space="preserve">Derek Bohne </v>
      </c>
      <c r="D225" t="str">
        <f>VLOOKUP(SUBSTITUTE(TRIM(MID(H225,FIND(",TPE:",H225)-3,3)),"- ",""),Index!D:E,2,FALSE)</f>
        <v>Safety</v>
      </c>
      <c r="E225" t="str">
        <f>MID(H225,FIND("(",H225)+1,FIND(")",H225)-FIND("(",H225)-1)</f>
        <v>S12</v>
      </c>
      <c r="F225" t="s">
        <v>379</v>
      </c>
      <c r="G225">
        <f t="shared" si="11"/>
        <v>187</v>
      </c>
      <c r="H225" t="s">
        <v>18</v>
      </c>
    </row>
    <row r="226" spans="1:8" x14ac:dyDescent="0.25">
      <c r="A226">
        <f t="shared" si="9"/>
        <v>1</v>
      </c>
      <c r="B226">
        <f t="shared" si="10"/>
        <v>10446</v>
      </c>
      <c r="C226" t="str">
        <f>[1]!RegExpSubstitute(MID(H226,FIND("- ",H226)+2,FIND("- ",H226,FIND("- ",H226)+1)-FIND("- ",H226)-2),"\&amp;quot\;.*\&amp;quot\;\W","")</f>
        <v xml:space="preserve">Ace Boogie Jr. </v>
      </c>
      <c r="D226" t="str">
        <f>VLOOKUP(SUBSTITUTE(TRIM(MID(H226,FIND(",TPE:",H226)-3,3)),"- ",""),Index!D:E,2,FALSE)</f>
        <v>Cornerback</v>
      </c>
      <c r="E226" t="str">
        <f>MID(H226,FIND("(",H226)+1,FIND(")",H226)-FIND("(",H226)-1)</f>
        <v>S11</v>
      </c>
      <c r="F226" t="s">
        <v>379</v>
      </c>
      <c r="G226">
        <f t="shared" si="11"/>
        <v>62</v>
      </c>
      <c r="H226" t="s">
        <v>19</v>
      </c>
    </row>
    <row r="227" spans="1:8" x14ac:dyDescent="0.25">
      <c r="A227">
        <f t="shared" si="9"/>
        <v>1</v>
      </c>
      <c r="B227">
        <f t="shared" si="10"/>
        <v>9797</v>
      </c>
      <c r="C227" t="str">
        <f>[1]!RegExpSubstitute(MID(H227,FIND("- ",H227)+2,FIND("- ",H227,FIND("- ",H227)+1)-FIND("- ",H227)-2),"\&amp;quot\;.*\&amp;quot\;\W","")</f>
        <v xml:space="preserve">True Pierce </v>
      </c>
      <c r="D227" t="str">
        <f>VLOOKUP(SUBSTITUTE(TRIM(MID(H227,FIND(",TPE:",H227)-3,3)),"- ",""),Index!D:E,2,FALSE)</f>
        <v>Linebacker</v>
      </c>
      <c r="E227" t="str">
        <f>MID(H227,FIND("(",H227)+1,FIND(")",H227)-FIND("(",H227)-1)</f>
        <v>S10</v>
      </c>
      <c r="F227" t="s">
        <v>379</v>
      </c>
      <c r="G227">
        <f t="shared" si="11"/>
        <v>76</v>
      </c>
      <c r="H227" t="s">
        <v>213</v>
      </c>
    </row>
    <row r="228" spans="1:8" x14ac:dyDescent="0.25">
      <c r="A228">
        <f t="shared" si="9"/>
        <v>1</v>
      </c>
      <c r="B228">
        <f t="shared" si="10"/>
        <v>9637</v>
      </c>
      <c r="C228" t="str">
        <f>[1]!RegExpSubstitute(MID(H228,FIND("- ",H228)+2,FIND("- ",H228,FIND("- ",H228)+1)-FIND("- ",H228)-2),"\&amp;quot\;.*\&amp;quot\;\W","")</f>
        <v xml:space="preserve">Jake Verden </v>
      </c>
      <c r="D228" t="str">
        <f>VLOOKUP(SUBSTITUTE(TRIM(MID(H228,FIND(",TPE:",H228)-3,3)),"- ",""),Index!D:E,2,FALSE)</f>
        <v>Cornerback</v>
      </c>
      <c r="E228" t="str">
        <f>MID(H228,FIND("(",H228)+1,FIND(")",H228)-FIND("(",H228)-1)</f>
        <v>S10</v>
      </c>
      <c r="F228" t="s">
        <v>379</v>
      </c>
      <c r="G228">
        <f t="shared" si="11"/>
        <v>138</v>
      </c>
      <c r="H228" t="s">
        <v>20</v>
      </c>
    </row>
    <row r="229" spans="1:8" x14ac:dyDescent="0.25">
      <c r="A229">
        <f t="shared" si="9"/>
        <v>1</v>
      </c>
      <c r="B229">
        <f t="shared" si="10"/>
        <v>12778</v>
      </c>
      <c r="C229" t="str">
        <f>[1]!RegExpSubstitute(MID(H229,FIND("- ",H229)+2,FIND("- ",H229,FIND("- ",H229)+1)-FIND("- ",H229)-2),"\&amp;quot\;.*\&amp;quot\;\W","")</f>
        <v xml:space="preserve">RKANSAW N/A </v>
      </c>
      <c r="D229" t="str">
        <f>VLOOKUP(SUBSTITUTE(TRIM(MID(H229,FIND(",TPE:",H229)-3,3)),"- ",""),Index!D:E,2,FALSE)</f>
        <v>Runningback</v>
      </c>
      <c r="E229" t="str">
        <f>MID(H229,FIND("(",H229)+1,FIND(")",H229)-FIND("(",H229)-1)</f>
        <v>S15</v>
      </c>
      <c r="F229" t="s">
        <v>380</v>
      </c>
      <c r="G229">
        <f t="shared" si="11"/>
        <v>50</v>
      </c>
      <c r="H229" t="s">
        <v>290</v>
      </c>
    </row>
    <row r="230" spans="1:8" x14ac:dyDescent="0.25">
      <c r="A230">
        <f t="shared" si="9"/>
        <v>1</v>
      </c>
      <c r="B230">
        <f t="shared" si="10"/>
        <v>12613</v>
      </c>
      <c r="C230" t="str">
        <f>[1]!RegExpSubstitute(MID(H230,FIND("- ",H230)+2,FIND("- ",H230,FIND("- ",H230)+1)-FIND("- ",H230)-2),"\&amp;quot\;.*\&amp;quot\;\W","")</f>
        <v xml:space="preserve">AJ Lattimer </v>
      </c>
      <c r="D230" t="str">
        <f>VLOOKUP(SUBSTITUTE(TRIM(MID(H230,FIND(",TPE:",H230)-3,3)),"- ",""),Index!D:E,2,FALSE)</f>
        <v>Defensive Line</v>
      </c>
      <c r="E230" t="str">
        <f>MID(H230,FIND("(",H230)+1,FIND(")",H230)-FIND("(",H230)-1)</f>
        <v>S15</v>
      </c>
      <c r="F230" t="s">
        <v>380</v>
      </c>
      <c r="G230">
        <f t="shared" si="11"/>
        <v>111</v>
      </c>
      <c r="H230" t="s">
        <v>291</v>
      </c>
    </row>
    <row r="231" spans="1:8" x14ac:dyDescent="0.25">
      <c r="A231">
        <f t="shared" si="9"/>
        <v>1</v>
      </c>
      <c r="B231">
        <f t="shared" si="10"/>
        <v>12493</v>
      </c>
      <c r="C231" t="str">
        <f>[1]!RegExpSubstitute(MID(H231,FIND("- ",H231)+2,FIND("- ",H231,FIND("- ",H231)+1)-FIND("- ",H231)-2),"\&amp;quot\;.*\&amp;quot\;\W","")</f>
        <v xml:space="preserve">Pablo Sanchez </v>
      </c>
      <c r="D231" t="str">
        <f>VLOOKUP(SUBSTITUTE(TRIM(MID(H231,FIND(",TPE:",H231)-3,3)),"- ",""),Index!D:E,2,FALSE)</f>
        <v>Linebacker</v>
      </c>
      <c r="E231" t="str">
        <f>MID(H231,FIND("(",H231)+1,FIND(")",H231)-FIND("(",H231)-1)</f>
        <v>S15</v>
      </c>
      <c r="F231" t="s">
        <v>380</v>
      </c>
      <c r="G231">
        <f t="shared" si="11"/>
        <v>50</v>
      </c>
      <c r="H231" t="s">
        <v>33</v>
      </c>
    </row>
    <row r="232" spans="1:8" x14ac:dyDescent="0.25">
      <c r="A232">
        <f t="shared" si="9"/>
        <v>1</v>
      </c>
      <c r="B232">
        <f t="shared" si="10"/>
        <v>12329</v>
      </c>
      <c r="C232" t="str">
        <f>[1]!RegExpSubstitute(MID(H232,FIND("- ",H232)+2,FIND("- ",H232,FIND("- ",H232)+1)-FIND("- ",H232)-2),"\&amp;quot\;.*\&amp;quot\;\W","")</f>
        <v xml:space="preserve">Tyler Janes </v>
      </c>
      <c r="D232" t="str">
        <f>VLOOKUP(SUBSTITUTE(TRIM(MID(H232,FIND(",TPE:",H232)-3,3)),"- ",""),Index!D:E,2,FALSE)</f>
        <v>Runningback</v>
      </c>
      <c r="E232" t="str">
        <f>MID(H232,FIND("(",H232)+1,FIND(")",H232)-FIND("(",H232)-1)</f>
        <v>S15</v>
      </c>
      <c r="F232" t="s">
        <v>380</v>
      </c>
      <c r="G232">
        <f t="shared" si="11"/>
        <v>67</v>
      </c>
      <c r="H232" t="s">
        <v>292</v>
      </c>
    </row>
    <row r="233" spans="1:8" x14ac:dyDescent="0.25">
      <c r="A233">
        <f t="shared" si="9"/>
        <v>1</v>
      </c>
      <c r="B233">
        <f t="shared" si="10"/>
        <v>12378</v>
      </c>
      <c r="C233" t="str">
        <f>[1]!RegExpSubstitute(MID(H233,FIND("- ",H233)+2,FIND("- ",H233,FIND("- ",H233)+1)-FIND("- ",H233)-2),"\&amp;quot\;.*\&amp;quot\;\W","")</f>
        <v xml:space="preserve">Avery Thomas </v>
      </c>
      <c r="D233" t="str">
        <f>VLOOKUP(SUBSTITUTE(TRIM(MID(H233,FIND(",TPE:",H233)-3,3)),"- ",""),Index!D:E,2,FALSE)</f>
        <v>Safety</v>
      </c>
      <c r="E233" t="str">
        <f>MID(H233,FIND("(",H233)+1,FIND(")",H233)-FIND("(",H233)-1)</f>
        <v>S15</v>
      </c>
      <c r="F233" t="s">
        <v>380</v>
      </c>
      <c r="G233">
        <f t="shared" si="11"/>
        <v>59</v>
      </c>
      <c r="H233" t="s">
        <v>293</v>
      </c>
    </row>
    <row r="234" spans="1:8" x14ac:dyDescent="0.25">
      <c r="A234">
        <f t="shared" si="9"/>
        <v>1</v>
      </c>
      <c r="B234">
        <f t="shared" si="10"/>
        <v>12326</v>
      </c>
      <c r="C234" t="str">
        <f>[1]!RegExpSubstitute(MID(H234,FIND("- ",H234)+2,FIND("- ",H234,FIND("- ",H234)+1)-FIND("- ",H234)-2),"\&amp;quot\;.*\&amp;quot\;\W","")</f>
        <v xml:space="preserve">Lightsout Lewis </v>
      </c>
      <c r="D234" t="str">
        <f>VLOOKUP(SUBSTITUTE(TRIM(MID(H234,FIND(",TPE:",H234)-3,3)),"- ",""),Index!D:E,2,FALSE)</f>
        <v>Linebacker</v>
      </c>
      <c r="E234" t="str">
        <f>MID(H234,FIND("(",H234)+1,FIND(")",H234)-FIND("(",H234)-1)</f>
        <v>S15</v>
      </c>
      <c r="F234" t="s">
        <v>380</v>
      </c>
      <c r="G234">
        <f t="shared" si="11"/>
        <v>137</v>
      </c>
      <c r="H234" t="s">
        <v>294</v>
      </c>
    </row>
    <row r="235" spans="1:8" x14ac:dyDescent="0.25">
      <c r="A235">
        <f t="shared" si="9"/>
        <v>1</v>
      </c>
      <c r="B235">
        <f t="shared" si="10"/>
        <v>12322</v>
      </c>
      <c r="C235" t="str">
        <f>[1]!RegExpSubstitute(MID(H235,FIND("- ",H235)+2,FIND("- ",H235,FIND("- ",H235)+1)-FIND("- ",H235)-2),"\&amp;quot\;.*\&amp;quot\;\W","")</f>
        <v xml:space="preserve">Dashwan Jackson </v>
      </c>
      <c r="D235" t="str">
        <f>VLOOKUP(SUBSTITUTE(TRIM(MID(H235,FIND(",TPE:",H235)-3,3)),"- ",""),Index!D:E,2,FALSE)</f>
        <v>Wide Receiver</v>
      </c>
      <c r="E235" t="str">
        <f>MID(H235,FIND("(",H235)+1,FIND(")",H235)-FIND("(",H235)-1)</f>
        <v>S15</v>
      </c>
      <c r="F235" t="s">
        <v>380</v>
      </c>
      <c r="G235">
        <f t="shared" si="11"/>
        <v>57</v>
      </c>
      <c r="H235" t="s">
        <v>295</v>
      </c>
    </row>
    <row r="236" spans="1:8" x14ac:dyDescent="0.25">
      <c r="A236">
        <f t="shared" si="9"/>
        <v>1</v>
      </c>
      <c r="B236">
        <f t="shared" si="10"/>
        <v>12292</v>
      </c>
      <c r="C236" t="str">
        <f>[1]!RegExpSubstitute(MID(H236,FIND("- ",H236)+2,FIND("- ",H236,FIND("- ",H236)+1)-FIND("- ",H236)-2),"\&amp;quot\;.*\&amp;quot\;\W","")</f>
        <v xml:space="preserve">Lanzer Grievous </v>
      </c>
      <c r="D236" t="str">
        <f>VLOOKUP(SUBSTITUTE(TRIM(MID(H236,FIND(",TPE:",H236)-3,3)),"- ",""),Index!D:E,2,FALSE)</f>
        <v>Linebacker</v>
      </c>
      <c r="E236" t="str">
        <f>MID(H236,FIND("(",H236)+1,FIND(")",H236)-FIND("(",H236)-1)</f>
        <v>S15</v>
      </c>
      <c r="F236" t="s">
        <v>380</v>
      </c>
      <c r="G236">
        <f t="shared" si="11"/>
        <v>128</v>
      </c>
      <c r="H236" t="s">
        <v>296</v>
      </c>
    </row>
    <row r="237" spans="1:8" x14ac:dyDescent="0.25">
      <c r="A237">
        <f t="shared" si="9"/>
        <v>1</v>
      </c>
      <c r="B237">
        <f t="shared" si="10"/>
        <v>12288</v>
      </c>
      <c r="C237" t="str">
        <f>[1]!RegExpSubstitute(MID(H237,FIND("- ",H237)+2,FIND("- ",H237,FIND("- ",H237)+1)-FIND("- ",H237)-2),"\&amp;quot\;.*\&amp;quot\;\W","")</f>
        <v xml:space="preserve">CrayCray Lewis </v>
      </c>
      <c r="D237" t="str">
        <f>VLOOKUP(SUBSTITUTE(TRIM(MID(H237,FIND(",TPE:",H237)-3,3)),"- ",""),Index!D:E,2,FALSE)</f>
        <v>Linebacker</v>
      </c>
      <c r="E237" t="str">
        <f>MID(H237,FIND("(",H237)+1,FIND(")",H237)-FIND("(",H237)-1)</f>
        <v>S15</v>
      </c>
      <c r="F237" t="s">
        <v>380</v>
      </c>
      <c r="G237">
        <f t="shared" si="11"/>
        <v>60</v>
      </c>
      <c r="H237" t="s">
        <v>297</v>
      </c>
    </row>
    <row r="238" spans="1:8" x14ac:dyDescent="0.25">
      <c r="A238">
        <f t="shared" si="9"/>
        <v>1</v>
      </c>
      <c r="B238">
        <f t="shared" si="10"/>
        <v>12268</v>
      </c>
      <c r="C238" t="str">
        <f>[1]!RegExpSubstitute(MID(H238,FIND("- ",H238)+2,FIND("- ",H238,FIND("- ",H238)+1)-FIND("- ",H238)-2),"\&amp;quot\;.*\&amp;quot\;\W","")</f>
        <v xml:space="preserve">Xerxes Ridley </v>
      </c>
      <c r="D238" t="str">
        <f>VLOOKUP(SUBSTITUTE(TRIM(MID(H238,FIND(",TPE:",H238)-3,3)),"- ",""),Index!D:E,2,FALSE)</f>
        <v>Cornerback</v>
      </c>
      <c r="E238" t="str">
        <f>MID(H238,FIND("(",H238)+1,FIND(")",H238)-FIND("(",H238)-1)</f>
        <v>S15</v>
      </c>
      <c r="F238" t="s">
        <v>380</v>
      </c>
      <c r="G238">
        <f t="shared" si="11"/>
        <v>145</v>
      </c>
      <c r="H238" t="s">
        <v>298</v>
      </c>
    </row>
    <row r="239" spans="1:8" x14ac:dyDescent="0.25">
      <c r="A239">
        <f t="shared" si="9"/>
        <v>1</v>
      </c>
      <c r="B239">
        <f t="shared" si="10"/>
        <v>12204</v>
      </c>
      <c r="C239" t="str">
        <f>[1]!RegExpSubstitute(MID(H239,FIND("- ",H239)+2,FIND("- ",H239,FIND("- ",H239)+1)-FIND("- ",H239)-2),"\&amp;quot\;.*\&amp;quot\;\W","")</f>
        <v xml:space="preserve">Gregor Clegaine </v>
      </c>
      <c r="D239" t="str">
        <f>VLOOKUP(SUBSTITUTE(TRIM(MID(H239,FIND(",TPE:",H239)-3,3)),"- ",""),Index!D:E,2,FALSE)</f>
        <v>Offensive Line</v>
      </c>
      <c r="E239" t="str">
        <f>MID(H239,FIND("(",H239)+1,FIND(")",H239)-FIND("(",H239)-1)</f>
        <v>S15</v>
      </c>
      <c r="F239" t="s">
        <v>380</v>
      </c>
      <c r="G239">
        <f t="shared" si="11"/>
        <v>50</v>
      </c>
      <c r="H239" t="s">
        <v>34</v>
      </c>
    </row>
    <row r="240" spans="1:8" x14ac:dyDescent="0.25">
      <c r="A240">
        <f t="shared" si="9"/>
        <v>1</v>
      </c>
      <c r="B240">
        <f t="shared" si="10"/>
        <v>12180</v>
      </c>
      <c r="C240" t="str">
        <f>[1]!RegExpSubstitute(MID(H240,FIND("- ",H240)+2,FIND("- ",H240,FIND("- ",H240)+1)-FIND("- ",H240)-2),"\&amp;quot\;.*\&amp;quot\;\W","")</f>
        <v xml:space="preserve">Taters Johnson </v>
      </c>
      <c r="D240" t="str">
        <f>VLOOKUP(SUBSTITUTE(TRIM(MID(H240,FIND(",TPE:",H240)-3,3)),"- ",""),Index!D:E,2,FALSE)</f>
        <v>Cornerback</v>
      </c>
      <c r="E240" t="str">
        <f>MID(H240,FIND("(",H240)+1,FIND(")",H240)-FIND("(",H240)-1)</f>
        <v>S15</v>
      </c>
      <c r="F240" t="s">
        <v>380</v>
      </c>
      <c r="G240">
        <f t="shared" si="11"/>
        <v>50</v>
      </c>
      <c r="H240" t="s">
        <v>35</v>
      </c>
    </row>
    <row r="241" spans="1:8" x14ac:dyDescent="0.25">
      <c r="A241">
        <f t="shared" si="9"/>
        <v>1</v>
      </c>
      <c r="B241">
        <f t="shared" si="10"/>
        <v>12178</v>
      </c>
      <c r="C241" t="str">
        <f>[1]!RegExpSubstitute(MID(H241,FIND("- ",H241)+2,FIND("- ",H241,FIND("- ",H241)+1)-FIND("- ",H241)-2),"\&amp;quot\;.*\&amp;quot\;\W","")</f>
        <v xml:space="preserve">Alex Dasistwirklichseinnachname </v>
      </c>
      <c r="D241" t="str">
        <f>VLOOKUP(SUBSTITUTE(TRIM(MID(H241,FIND(",TPE:",H241)-3,3)),"- ",""),Index!D:E,2,FALSE)</f>
        <v>Kicker</v>
      </c>
      <c r="E241" t="str">
        <f>MID(H241,FIND("(",H241)+1,FIND(")",H241)-FIND("(",H241)-1)</f>
        <v>S15</v>
      </c>
      <c r="F241" t="s">
        <v>380</v>
      </c>
      <c r="G241">
        <f t="shared" si="11"/>
        <v>89</v>
      </c>
      <c r="H241" t="s">
        <v>299</v>
      </c>
    </row>
    <row r="242" spans="1:8" x14ac:dyDescent="0.25">
      <c r="A242">
        <f t="shared" si="9"/>
        <v>1</v>
      </c>
      <c r="B242">
        <f t="shared" si="10"/>
        <v>12168</v>
      </c>
      <c r="C242" t="str">
        <f>[1]!RegExpSubstitute(MID(H242,FIND("- ",H242)+2,FIND("- ",H242,FIND("- ",H242)+1)-FIND("- ",H242)-2),"\&amp;quot\;.*\&amp;quot\;\W","")</f>
        <v xml:space="preserve">Justin Tyme </v>
      </c>
      <c r="D242" t="str">
        <f>VLOOKUP(SUBSTITUTE(TRIM(MID(H242,FIND(",TPE:",H242)-3,3)),"- ",""),Index!D:E,2,FALSE)</f>
        <v>Linebacker</v>
      </c>
      <c r="E242" t="str">
        <f>MID(H242,FIND("(",H242)+1,FIND(")",H242)-FIND("(",H242)-1)</f>
        <v>S15</v>
      </c>
      <c r="F242" t="s">
        <v>380</v>
      </c>
      <c r="G242">
        <f t="shared" si="11"/>
        <v>50</v>
      </c>
      <c r="H242" t="s">
        <v>36</v>
      </c>
    </row>
    <row r="243" spans="1:8" x14ac:dyDescent="0.25">
      <c r="A243">
        <f t="shared" si="9"/>
        <v>1</v>
      </c>
      <c r="B243">
        <f t="shared" si="10"/>
        <v>12142</v>
      </c>
      <c r="C243" t="str">
        <f>[1]!RegExpSubstitute(MID(H243,FIND("- ",H243)+2,FIND("- ",H243,FIND("- ",H243)+1)-FIND("- ",H243)-2),"\&amp;quot\;.*\&amp;quot\;\W","")</f>
        <v xml:space="preserve">Kermit Stronglegs </v>
      </c>
      <c r="D243" t="str">
        <f>VLOOKUP(SUBSTITUTE(TRIM(MID(H243,FIND(",TPE:",H243)-3,3)),"- ",""),Index!D:E,2,FALSE)</f>
        <v>Runningback</v>
      </c>
      <c r="E243" t="str">
        <f>MID(H243,FIND("(",H243)+1,FIND(")",H243)-FIND("(",H243)-1)</f>
        <v>S15</v>
      </c>
      <c r="F243" t="s">
        <v>380</v>
      </c>
      <c r="G243">
        <f t="shared" si="11"/>
        <v>92</v>
      </c>
      <c r="H243" t="s">
        <v>300</v>
      </c>
    </row>
    <row r="244" spans="1:8" x14ac:dyDescent="0.25">
      <c r="A244">
        <f t="shared" si="9"/>
        <v>1</v>
      </c>
      <c r="B244">
        <f t="shared" si="10"/>
        <v>12031</v>
      </c>
      <c r="C244" t="str">
        <f>[1]!RegExpSubstitute(MID(H244,FIND("- ",H244)+2,FIND("- ",H244,FIND("- ",H244)+1)-FIND("- ",H244)-2),"\&amp;quot\;.*\&amp;quot\;\W","")</f>
        <v xml:space="preserve">Franklin Armstrong </v>
      </c>
      <c r="D244" t="str">
        <f>VLOOKUP(SUBSTITUTE(TRIM(MID(H244,FIND(",TPE:",H244)-3,3)),"- ",""),Index!D:E,2,FALSE)</f>
        <v>Quarterback</v>
      </c>
      <c r="E244" t="str">
        <f>MID(H244,FIND("(",H244)+1,FIND(")",H244)-FIND("(",H244)-1)</f>
        <v>S15</v>
      </c>
      <c r="F244" t="s">
        <v>380</v>
      </c>
      <c r="G244">
        <f t="shared" si="11"/>
        <v>140</v>
      </c>
      <c r="H244" t="s">
        <v>301</v>
      </c>
    </row>
    <row r="245" spans="1:8" x14ac:dyDescent="0.25">
      <c r="A245">
        <f t="shared" si="9"/>
        <v>1</v>
      </c>
      <c r="B245">
        <f t="shared" si="10"/>
        <v>12024</v>
      </c>
      <c r="C245" t="str">
        <f>[1]!RegExpSubstitute(MID(H245,FIND("- ",H245)+2,FIND("- ",H245,FIND("- ",H245)+1)-FIND("- ",H245)-2),"\&amp;quot\;.*\&amp;quot\;\W","")</f>
        <v xml:space="preserve">Richard D'Attoria V </v>
      </c>
      <c r="D245" t="str">
        <f>VLOOKUP(SUBSTITUTE(TRIM(MID(H245,FIND(",TPE:",H245)-3,3)),"- ",""),Index!D:E,2,FALSE)</f>
        <v>Safety</v>
      </c>
      <c r="E245" t="str">
        <f>MID(H245,FIND("(",H245)+1,FIND(")",H245)-FIND("(",H245)-1)</f>
        <v>S15</v>
      </c>
      <c r="F245" t="s">
        <v>380</v>
      </c>
      <c r="G245">
        <f t="shared" si="11"/>
        <v>147</v>
      </c>
      <c r="H245" t="s">
        <v>302</v>
      </c>
    </row>
    <row r="246" spans="1:8" x14ac:dyDescent="0.25">
      <c r="A246">
        <f t="shared" si="9"/>
        <v>1</v>
      </c>
      <c r="B246">
        <f t="shared" si="10"/>
        <v>11992</v>
      </c>
      <c r="C246" t="str">
        <f>[1]!RegExpSubstitute(MID(H246,FIND("- ",H246)+2,FIND("- ",H246,FIND("- ",H246)+1)-FIND("- ",H246)-2),"\&amp;quot\;.*\&amp;quot\;\W","")</f>
        <v xml:space="preserve">Emondov Emoji </v>
      </c>
      <c r="D246" t="str">
        <f>VLOOKUP(SUBSTITUTE(TRIM(MID(H246,FIND(",TPE:",H246)-3,3)),"- ",""),Index!D:E,2,FALSE)</f>
        <v>Cornerback</v>
      </c>
      <c r="E246" t="str">
        <f>MID(H246,FIND("(",H246)+1,FIND(")",H246)-FIND("(",H246)-1)</f>
        <v>S15</v>
      </c>
      <c r="F246" t="s">
        <v>380</v>
      </c>
      <c r="G246">
        <f t="shared" si="11"/>
        <v>176</v>
      </c>
      <c r="H246" t="s">
        <v>303</v>
      </c>
    </row>
    <row r="247" spans="1:8" x14ac:dyDescent="0.25">
      <c r="A247">
        <f t="shared" si="9"/>
        <v>1</v>
      </c>
      <c r="B247">
        <f t="shared" si="10"/>
        <v>11926</v>
      </c>
      <c r="C247" t="str">
        <f>[1]!RegExpSubstitute(MID(H247,FIND("- ",H247)+2,FIND("- ",H247,FIND("- ",H247)+1)-FIND("- ",H247)-2),"\&amp;quot\;.*\&amp;quot\;\W","")</f>
        <v xml:space="preserve">Gekyume Stokeley </v>
      </c>
      <c r="D247" t="str">
        <f>VLOOKUP(SUBSTITUTE(TRIM(MID(H247,FIND(",TPE:",H247)-3,3)),"- ",""),Index!D:E,2,FALSE)</f>
        <v>Linebacker</v>
      </c>
      <c r="E247" t="str">
        <f>MID(H247,FIND("(",H247)+1,FIND(")",H247)-FIND("(",H247)-1)</f>
        <v>S14</v>
      </c>
      <c r="F247" t="s">
        <v>380</v>
      </c>
      <c r="G247">
        <f t="shared" si="11"/>
        <v>200</v>
      </c>
      <c r="H247" t="s">
        <v>304</v>
      </c>
    </row>
    <row r="248" spans="1:8" x14ac:dyDescent="0.25">
      <c r="A248">
        <f t="shared" si="9"/>
        <v>1</v>
      </c>
      <c r="B248">
        <f t="shared" si="10"/>
        <v>11755</v>
      </c>
      <c r="C248" t="str">
        <f>[1]!RegExpSubstitute(MID(H248,FIND("- ",H248)+2,FIND("- ",H248,FIND("- ",H248)+1)-FIND("- ",H248)-2),"\&amp;quot\;.*\&amp;quot\;\W","")</f>
        <v xml:space="preserve">Adam Hardin </v>
      </c>
      <c r="D248" t="str">
        <f>VLOOKUP(SUBSTITUTE(TRIM(MID(H248,FIND(",TPE:",H248)-3,3)),"- ",""),Index!D:E,2,FALSE)</f>
        <v>Quarterback</v>
      </c>
      <c r="E248" t="str">
        <f>MID(H248,FIND("(",H248)+1,FIND(")",H248)-FIND("(",H248)-1)</f>
        <v>S14</v>
      </c>
      <c r="F248" t="s">
        <v>380</v>
      </c>
      <c r="G248">
        <f t="shared" si="11"/>
        <v>55</v>
      </c>
      <c r="H248" t="s">
        <v>37</v>
      </c>
    </row>
    <row r="249" spans="1:8" x14ac:dyDescent="0.25">
      <c r="A249">
        <f t="shared" si="9"/>
        <v>1</v>
      </c>
      <c r="B249">
        <f t="shared" si="10"/>
        <v>11738</v>
      </c>
      <c r="C249" t="str">
        <f>[1]!RegExpSubstitute(MID(H249,FIND("- ",H249)+2,FIND("- ",H249,FIND("- ",H249)+1)-FIND("- ",H249)-2),"\&amp;quot\;.*\&amp;quot\;\W","")</f>
        <v xml:space="preserve">Ricky Enbalse </v>
      </c>
      <c r="D249" t="str">
        <f>VLOOKUP(SUBSTITUTE(TRIM(MID(H249,FIND(",TPE:",H249)-3,3)),"- ",""),Index!D:E,2,FALSE)</f>
        <v>Linebacker</v>
      </c>
      <c r="E249" t="str">
        <f>MID(H249,FIND("(",H249)+1,FIND(")",H249)-FIND("(",H249)-1)</f>
        <v>S14</v>
      </c>
      <c r="F249" t="s">
        <v>380</v>
      </c>
      <c r="G249">
        <f t="shared" si="11"/>
        <v>50</v>
      </c>
      <c r="H249" t="s">
        <v>38</v>
      </c>
    </row>
    <row r="250" spans="1:8" x14ac:dyDescent="0.25">
      <c r="A250">
        <f t="shared" si="9"/>
        <v>1</v>
      </c>
      <c r="B250">
        <f t="shared" si="10"/>
        <v>11684</v>
      </c>
      <c r="C250" t="str">
        <f>[1]!RegExpSubstitute(MID(H250,FIND("- ",H250)+2,FIND("- ",H250,FIND("- ",H250)+1)-FIND("- ",H250)-2),"\&amp;quot\;.*\&amp;quot\;\W","")</f>
        <v xml:space="preserve">Leighton Lee </v>
      </c>
      <c r="D250" t="str">
        <f>VLOOKUP(SUBSTITUTE(TRIM(MID(H250,FIND(",TPE:",H250)-3,3)),"- ",""),Index!D:E,2,FALSE)</f>
        <v>Linebacker</v>
      </c>
      <c r="E250" t="str">
        <f>MID(H250,FIND("(",H250)+1,FIND(")",H250)-FIND("(",H250)-1)</f>
        <v>S14</v>
      </c>
      <c r="F250" t="s">
        <v>380</v>
      </c>
      <c r="G250">
        <f t="shared" si="11"/>
        <v>259</v>
      </c>
      <c r="H250" t="s">
        <v>305</v>
      </c>
    </row>
    <row r="251" spans="1:8" x14ac:dyDescent="0.25">
      <c r="A251">
        <f t="shared" si="9"/>
        <v>1</v>
      </c>
      <c r="B251">
        <f t="shared" si="10"/>
        <v>11615</v>
      </c>
      <c r="C251" t="str">
        <f>[1]!RegExpSubstitute(MID(H251,FIND("- ",H251)+2,FIND("- ",H251,FIND("- ",H251)+1)-FIND("- ",H251)-2),"\&amp;quot\;.*\&amp;quot\;\W","")</f>
        <v xml:space="preserve">Stanley Marshall </v>
      </c>
      <c r="D251" t="str">
        <f>VLOOKUP(SUBSTITUTE(TRIM(MID(H251,FIND(",TPE:",H251)-3,3)),"- ",""),Index!D:E,2,FALSE)</f>
        <v>Cornerback</v>
      </c>
      <c r="E251" t="str">
        <f>MID(H251,FIND("(",H251)+1,FIND(")",H251)-FIND("(",H251)-1)</f>
        <v>S14</v>
      </c>
      <c r="F251" t="s">
        <v>380</v>
      </c>
      <c r="G251">
        <f t="shared" si="11"/>
        <v>50</v>
      </c>
      <c r="H251" t="s">
        <v>39</v>
      </c>
    </row>
    <row r="252" spans="1:8" x14ac:dyDescent="0.25">
      <c r="A252">
        <f t="shared" si="9"/>
        <v>1</v>
      </c>
      <c r="B252">
        <f t="shared" si="10"/>
        <v>11532</v>
      </c>
      <c r="C252" t="str">
        <f>[1]!RegExpSubstitute(MID(H252,FIND("- ",H252)+2,FIND("- ",H252,FIND("- ",H252)+1)-FIND("- ",H252)-2),"\&amp;quot\;.*\&amp;quot\;\W","")</f>
        <v xml:space="preserve">Bona'beri Jones </v>
      </c>
      <c r="D252" t="str">
        <f>VLOOKUP(SUBSTITUTE(TRIM(MID(H252,FIND(",TPE:",H252)-3,3)),"- ",""),Index!D:E,2,FALSE)</f>
        <v>Wide Receiver</v>
      </c>
      <c r="E252" t="str">
        <f>MID(H252,FIND("(",H252)+1,FIND(")",H252)-FIND("(",H252)-1)</f>
        <v>S13</v>
      </c>
      <c r="F252" t="s">
        <v>380</v>
      </c>
      <c r="G252">
        <f t="shared" si="11"/>
        <v>204</v>
      </c>
      <c r="H252" t="s">
        <v>306</v>
      </c>
    </row>
    <row r="253" spans="1:8" x14ac:dyDescent="0.25">
      <c r="A253">
        <f t="shared" si="9"/>
        <v>1</v>
      </c>
      <c r="B253">
        <f t="shared" si="10"/>
        <v>10886</v>
      </c>
      <c r="C253" t="str">
        <f>[1]!RegExpSubstitute(MID(H253,FIND("- ",H253)+2,FIND("- ",H253,FIND("- ",H253)+1)-FIND("- ",H253)-2),"\&amp;quot\;.*\&amp;quot\;\W","")</f>
        <v xml:space="preserve">Roman Stakowski </v>
      </c>
      <c r="D253" t="str">
        <f>VLOOKUP(SUBSTITUTE(TRIM(MID(H253,FIND(",TPE:",H253)-3,3)),"- ",""),Index!D:E,2,FALSE)</f>
        <v>Tight End</v>
      </c>
      <c r="E253" t="str">
        <f>MID(H253,FIND("(",H253)+1,FIND(")",H253)-FIND("(",H253)-1)</f>
        <v>S12</v>
      </c>
      <c r="F253" t="s">
        <v>380</v>
      </c>
      <c r="G253">
        <f t="shared" si="11"/>
        <v>227</v>
      </c>
      <c r="H253" t="s">
        <v>40</v>
      </c>
    </row>
    <row r="254" spans="1:8" x14ac:dyDescent="0.25">
      <c r="A254">
        <f t="shared" si="9"/>
        <v>1</v>
      </c>
      <c r="B254">
        <f t="shared" si="10"/>
        <v>10806</v>
      </c>
      <c r="C254" t="str">
        <f>[1]!RegExpSubstitute(MID(H254,FIND("- ",H254)+2,FIND("- ",H254,FIND("- ",H254)+1)-FIND("- ",H254)-2),"\&amp;quot\;.*\&amp;quot\;\W","")</f>
        <v xml:space="preserve">Grayson Wayne </v>
      </c>
      <c r="D254" t="str">
        <f>VLOOKUP(SUBSTITUTE(TRIM(MID(H254,FIND(",TPE:",H254)-3,3)),"- ",""),Index!D:E,2,FALSE)</f>
        <v>Safety</v>
      </c>
      <c r="E254" t="str">
        <f>MID(H254,FIND("(",H254)+1,FIND(")",H254)-FIND("(",H254)-1)</f>
        <v>S12</v>
      </c>
      <c r="F254" t="s">
        <v>380</v>
      </c>
      <c r="G254">
        <f t="shared" si="11"/>
        <v>50</v>
      </c>
      <c r="H254" t="s">
        <v>41</v>
      </c>
    </row>
    <row r="255" spans="1:8" x14ac:dyDescent="0.25">
      <c r="A255">
        <f t="shared" si="9"/>
        <v>1</v>
      </c>
      <c r="B255">
        <f t="shared" si="10"/>
        <v>10741</v>
      </c>
      <c r="C255" t="str">
        <f>[1]!RegExpSubstitute(MID(H255,FIND("- ",H255)+2,FIND("- ",H255,FIND("- ",H255)+1)-FIND("- ",H255)-2),"\&amp;quot\;.*\&amp;quot\;\W","")</f>
        <v xml:space="preserve">Beauregard Smallwood-Chess </v>
      </c>
      <c r="D255" t="str">
        <f>VLOOKUP(SUBSTITUTE(TRIM(MID(H255,FIND(",TPE:",H255)-3,3)),"- ",""),Index!D:E,2,FALSE)</f>
        <v>Runningback</v>
      </c>
      <c r="E255" t="str">
        <f>MID(H255,FIND("(",H255)+1,FIND(")",H255)-FIND("(",H255)-1)</f>
        <v>S12</v>
      </c>
      <c r="F255" t="s">
        <v>380</v>
      </c>
      <c r="G255">
        <f t="shared" si="11"/>
        <v>136</v>
      </c>
      <c r="H255" t="s">
        <v>42</v>
      </c>
    </row>
    <row r="256" spans="1:8" x14ac:dyDescent="0.25">
      <c r="A256">
        <f t="shared" si="9"/>
        <v>1</v>
      </c>
      <c r="B256">
        <f t="shared" si="10"/>
        <v>10470</v>
      </c>
      <c r="C256" t="str">
        <f>[1]!RegExpSubstitute(MID(H256,FIND("- ",H256)+2,FIND("- ",H256,FIND("- ",H256)+1)-FIND("- ",H256)-2),"\&amp;quot\;.*\&amp;quot\;\W","")</f>
        <v xml:space="preserve">Roderick Castleberry </v>
      </c>
      <c r="D256" t="str">
        <f>VLOOKUP(SUBSTITUTE(TRIM(MID(H256,FIND(",TPE:",H256)-3,3)),"- ",""),Index!D:E,2,FALSE)</f>
        <v>Kicker</v>
      </c>
      <c r="E256" t="str">
        <f>MID(H256,FIND("(",H256)+1,FIND(")",H256)-FIND("(",H256)-1)</f>
        <v>S12</v>
      </c>
      <c r="F256" t="s">
        <v>380</v>
      </c>
      <c r="G256">
        <f t="shared" si="11"/>
        <v>95</v>
      </c>
      <c r="H256" t="s">
        <v>43</v>
      </c>
    </row>
    <row r="257" spans="1:8" x14ac:dyDescent="0.25">
      <c r="A257">
        <f t="shared" si="9"/>
        <v>1</v>
      </c>
      <c r="B257">
        <f t="shared" si="10"/>
        <v>12606</v>
      </c>
      <c r="C257" t="str">
        <f>[1]!RegExpSubstitute(MID(H257,FIND("- ",H257)+2,FIND("- ",H257,FIND("- ",H257)+1)-FIND("- ",H257)-2),"\&amp;quot\;.*\&amp;quot\;\W","")</f>
        <v xml:space="preserve">David Le Kre </v>
      </c>
      <c r="D257" t="str">
        <f>VLOOKUP(SUBSTITUTE(TRIM(MID(H257,FIND(",TPE:",H257)-3,3)),"- ",""),Index!D:E,2,FALSE)</f>
        <v>Cornerback</v>
      </c>
      <c r="E257" t="str">
        <f>MID(H257,FIND("(",H257)+1,FIND(")",H257)-FIND("(",H257)-1)</f>
        <v>S15</v>
      </c>
      <c r="F257" t="s">
        <v>381</v>
      </c>
      <c r="G257">
        <f t="shared" si="11"/>
        <v>55</v>
      </c>
      <c r="H257" t="s">
        <v>307</v>
      </c>
    </row>
    <row r="258" spans="1:8" x14ac:dyDescent="0.25">
      <c r="A258">
        <f t="shared" ref="A258:A321" si="12">COUNTIF($B$2:$B$375,B258)</f>
        <v>1</v>
      </c>
      <c r="B258">
        <f t="shared" si="10"/>
        <v>12381</v>
      </c>
      <c r="C258" t="str">
        <f>[1]!RegExpSubstitute(MID(H258,FIND("- ",H258)+2,FIND("- ",H258,FIND("- ",H258)+1)-FIND("- ",H258)-2),"\&amp;quot\;.*\&amp;quot\;\W","")</f>
        <v xml:space="preserve">Lawalin Tae'orr </v>
      </c>
      <c r="D258" t="str">
        <f>VLOOKUP(SUBSTITUTE(TRIM(MID(H258,FIND(",TPE:",H258)-3,3)),"- ",""),Index!D:E,2,FALSE)</f>
        <v>Linebacker</v>
      </c>
      <c r="E258" t="str">
        <f>MID(H258,FIND("(",H258)+1,FIND(")",H258)-FIND("(",H258)-1)</f>
        <v>S15</v>
      </c>
      <c r="F258" t="s">
        <v>381</v>
      </c>
      <c r="G258">
        <f t="shared" si="11"/>
        <v>50</v>
      </c>
      <c r="H258" t="s">
        <v>44</v>
      </c>
    </row>
    <row r="259" spans="1:8" x14ac:dyDescent="0.25">
      <c r="A259">
        <f t="shared" si="12"/>
        <v>1</v>
      </c>
      <c r="B259">
        <f t="shared" ref="B259:B322" si="13">[1]!Numerize(MID(H259,FIND("=",H259),10))+0</f>
        <v>12364</v>
      </c>
      <c r="C259" t="str">
        <f>[1]!RegExpSubstitute(MID(H259,FIND("- ",H259)+2,FIND("- ",H259,FIND("- ",H259)+1)-FIND("- ",H259)-2),"\&amp;quot\;.*\&amp;quot\;\W","")</f>
        <v xml:space="preserve">Nero Alexander </v>
      </c>
      <c r="D259" t="str">
        <f>VLOOKUP(SUBSTITUTE(TRIM(MID(H259,FIND(",TPE:",H259)-3,3)),"- ",""),Index!D:E,2,FALSE)</f>
        <v>Defensive Line</v>
      </c>
      <c r="E259" t="str">
        <f>MID(H259,FIND("(",H259)+1,FIND(")",H259)-FIND("(",H259)-1)</f>
        <v>S15</v>
      </c>
      <c r="F259" t="s">
        <v>381</v>
      </c>
      <c r="G259">
        <f t="shared" ref="G259:G322" si="14">MID(H259,FIND("TPE: ",H259)+5,FIND(", ",H259,FIND("TPE: ",H259))-FIND("TPE: ",H259)-5)+0</f>
        <v>147</v>
      </c>
      <c r="H259" t="s">
        <v>308</v>
      </c>
    </row>
    <row r="260" spans="1:8" x14ac:dyDescent="0.25">
      <c r="A260">
        <f t="shared" si="12"/>
        <v>1</v>
      </c>
      <c r="B260">
        <f t="shared" si="13"/>
        <v>12363</v>
      </c>
      <c r="C260" t="str">
        <f>[1]!RegExpSubstitute(MID(H260,FIND("- ",H260)+2,FIND("- ",H260,FIND("- ",H260)+1)-FIND("- ",H260)-2),"\&amp;quot\;.*\&amp;quot\;\W","")</f>
        <v xml:space="preserve">Franklin Cooper </v>
      </c>
      <c r="D260" t="str">
        <f>VLOOKUP(SUBSTITUTE(TRIM(MID(H260,FIND(",TPE:",H260)-3,3)),"- ",""),Index!D:E,2,FALSE)</f>
        <v>Safety</v>
      </c>
      <c r="E260" t="str">
        <f>MID(H260,FIND("(",H260)+1,FIND(")",H260)-FIND("(",H260)-1)</f>
        <v>S15</v>
      </c>
      <c r="F260" t="s">
        <v>381</v>
      </c>
      <c r="G260">
        <f t="shared" si="14"/>
        <v>50</v>
      </c>
      <c r="H260" t="s">
        <v>45</v>
      </c>
    </row>
    <row r="261" spans="1:8" x14ac:dyDescent="0.25">
      <c r="A261">
        <f t="shared" si="12"/>
        <v>1</v>
      </c>
      <c r="B261">
        <f t="shared" si="13"/>
        <v>12283</v>
      </c>
      <c r="C261" t="str">
        <f>[1]!RegExpSubstitute(MID(H261,FIND("- ",H261)+2,FIND("- ",H261,FIND("- ",H261)+1)-FIND("- ",H261)-2),"\&amp;quot\;.*\&amp;quot\;\W","")</f>
        <v xml:space="preserve">Walt Green </v>
      </c>
      <c r="D261" t="str">
        <f>VLOOKUP(SUBSTITUTE(TRIM(MID(H261,FIND(",TPE:",H261)-3,3)),"- ",""),Index!D:E,2,FALSE)</f>
        <v>Safety</v>
      </c>
      <c r="E261" t="str">
        <f>MID(H261,FIND("(",H261)+1,FIND(")",H261)-FIND("(",H261)-1)</f>
        <v>S15</v>
      </c>
      <c r="F261" t="s">
        <v>381</v>
      </c>
      <c r="G261">
        <f t="shared" si="14"/>
        <v>113</v>
      </c>
      <c r="H261" t="s">
        <v>309</v>
      </c>
    </row>
    <row r="262" spans="1:8" x14ac:dyDescent="0.25">
      <c r="A262">
        <f t="shared" si="12"/>
        <v>1</v>
      </c>
      <c r="B262">
        <f t="shared" si="13"/>
        <v>12276</v>
      </c>
      <c r="C262" t="str">
        <f>[1]!RegExpSubstitute(MID(H262,FIND("- ",H262)+2,FIND("- ",H262,FIND("- ",H262)+1)-FIND("- ",H262)-2),"\&amp;quot\;.*\&amp;quot\;\W","")</f>
        <v xml:space="preserve">Memphis Wilkerson </v>
      </c>
      <c r="D262" t="str">
        <f>VLOOKUP(SUBSTITUTE(TRIM(MID(H262,FIND(",TPE:",H262)-3,3)),"- ",""),Index!D:E,2,FALSE)</f>
        <v>Defensive Line</v>
      </c>
      <c r="E262" t="str">
        <f>MID(H262,FIND("(",H262)+1,FIND(")",H262)-FIND("(",H262)-1)</f>
        <v>S15</v>
      </c>
      <c r="F262" t="s">
        <v>381</v>
      </c>
      <c r="G262">
        <f t="shared" si="14"/>
        <v>50</v>
      </c>
      <c r="H262" t="s">
        <v>46</v>
      </c>
    </row>
    <row r="263" spans="1:8" x14ac:dyDescent="0.25">
      <c r="A263">
        <f t="shared" si="12"/>
        <v>1</v>
      </c>
      <c r="B263">
        <f t="shared" si="13"/>
        <v>12258</v>
      </c>
      <c r="C263" t="str">
        <f>[1]!RegExpSubstitute(MID(H263,FIND("- ",H263)+2,FIND("- ",H263,FIND("- ",H263)+1)-FIND("- ",H263)-2),"\&amp;quot\;.*\&amp;quot\;\W","")</f>
        <v xml:space="preserve">Max Vaz </v>
      </c>
      <c r="D263" t="str">
        <f>VLOOKUP(SUBSTITUTE(TRIM(MID(H263,FIND(",TPE:",H263)-3,3)),"- ",""),Index!D:E,2,FALSE)</f>
        <v>Runningback</v>
      </c>
      <c r="E263" t="str">
        <f>MID(H263,FIND("(",H263)+1,FIND(")",H263)-FIND("(",H263)-1)</f>
        <v>S15</v>
      </c>
      <c r="F263" t="s">
        <v>381</v>
      </c>
      <c r="G263">
        <f t="shared" si="14"/>
        <v>67</v>
      </c>
      <c r="H263" t="s">
        <v>310</v>
      </c>
    </row>
    <row r="264" spans="1:8" x14ac:dyDescent="0.25">
      <c r="A264">
        <f t="shared" si="12"/>
        <v>1</v>
      </c>
      <c r="B264">
        <f t="shared" si="13"/>
        <v>12252</v>
      </c>
      <c r="C264" t="str">
        <f>[1]!RegExpSubstitute(MID(H264,FIND("- ",H264)+2,FIND("- ",H264,FIND("- ",H264)+1)-FIND("- ",H264)-2),"\&amp;quot\;.*\&amp;quot\;\W","")</f>
        <v xml:space="preserve">Mister Big Chest </v>
      </c>
      <c r="D264" t="str">
        <f>VLOOKUP(SUBSTITUTE(TRIM(MID(H264,FIND(",TPE:",H264)-3,3)),"- ",""),Index!D:E,2,FALSE)</f>
        <v>Wide Receiver</v>
      </c>
      <c r="E264" t="str">
        <f>MID(H264,FIND("(",H264)+1,FIND(")",H264)-FIND("(",H264)-1)</f>
        <v>S15</v>
      </c>
      <c r="F264" t="s">
        <v>381</v>
      </c>
      <c r="G264">
        <f t="shared" si="14"/>
        <v>82</v>
      </c>
      <c r="H264" t="s">
        <v>311</v>
      </c>
    </row>
    <row r="265" spans="1:8" x14ac:dyDescent="0.25">
      <c r="A265">
        <f t="shared" si="12"/>
        <v>1</v>
      </c>
      <c r="B265">
        <f t="shared" si="13"/>
        <v>12228</v>
      </c>
      <c r="C265" t="str">
        <f>[1]!RegExpSubstitute(MID(H265,FIND("- ",H265)+2,FIND("- ",H265,FIND("- ",H265)+1)-FIND("- ",H265)-2),"\&amp;quot\;.*\&amp;quot\;\W","")</f>
        <v xml:space="preserve">Robert Kleven </v>
      </c>
      <c r="D265" t="str">
        <f>VLOOKUP(SUBSTITUTE(TRIM(MID(H265,FIND(",TPE:",H265)-3,3)),"- ",""),Index!D:E,2,FALSE)</f>
        <v>Wide Receiver</v>
      </c>
      <c r="E265" t="str">
        <f>MID(H265,FIND("(",H265)+1,FIND(")",H265)-FIND("(",H265)-1)</f>
        <v>S15</v>
      </c>
      <c r="F265" t="s">
        <v>381</v>
      </c>
      <c r="G265">
        <f t="shared" si="14"/>
        <v>57</v>
      </c>
      <c r="H265" t="s">
        <v>312</v>
      </c>
    </row>
    <row r="266" spans="1:8" x14ac:dyDescent="0.25">
      <c r="A266">
        <f t="shared" si="12"/>
        <v>1</v>
      </c>
      <c r="B266">
        <f t="shared" si="13"/>
        <v>12191</v>
      </c>
      <c r="C266" t="str">
        <f>[1]!RegExpSubstitute(MID(H266,FIND("- ",H266)+2,FIND("- ",H266,FIND("- ",H266)+1)-FIND("- ",H266)-2),"\&amp;quot\;.*\&amp;quot\;\W","")</f>
        <v xml:space="preserve">Morgan Marshall </v>
      </c>
      <c r="D266" t="str">
        <f>VLOOKUP(SUBSTITUTE(TRIM(MID(H266,FIND(",TPE:",H266)-3,3)),"- ",""),Index!D:E,2,FALSE)</f>
        <v>Runningback</v>
      </c>
      <c r="E266" t="str">
        <f>MID(H266,FIND("(",H266)+1,FIND(")",H266)-FIND("(",H266)-1)</f>
        <v>S15</v>
      </c>
      <c r="F266" t="s">
        <v>381</v>
      </c>
      <c r="G266">
        <f t="shared" si="14"/>
        <v>157</v>
      </c>
      <c r="H266" t="s">
        <v>313</v>
      </c>
    </row>
    <row r="267" spans="1:8" x14ac:dyDescent="0.25">
      <c r="A267">
        <f t="shared" si="12"/>
        <v>1</v>
      </c>
      <c r="B267">
        <f t="shared" si="13"/>
        <v>12186</v>
      </c>
      <c r="C267" t="str">
        <f>[1]!RegExpSubstitute(MID(H267,FIND("- ",H267)+2,FIND("- ",H267,FIND("- ",H267)+1)-FIND("- ",H267)-2),"\&amp;quot\;.*\&amp;quot\;\W","")</f>
        <v xml:space="preserve">Timmy Hoss </v>
      </c>
      <c r="D267" t="str">
        <f>VLOOKUP(SUBSTITUTE(TRIM(MID(H267,FIND(",TPE:",H267)-3,3)),"- ",""),Index!D:E,2,FALSE)</f>
        <v>Tight End</v>
      </c>
      <c r="E267" t="str">
        <f>MID(H267,FIND("(",H267)+1,FIND(")",H267)-FIND("(",H267)-1)</f>
        <v>S15</v>
      </c>
      <c r="F267" t="s">
        <v>381</v>
      </c>
      <c r="G267">
        <f t="shared" si="14"/>
        <v>144</v>
      </c>
      <c r="H267" t="s">
        <v>314</v>
      </c>
    </row>
    <row r="268" spans="1:8" x14ac:dyDescent="0.25">
      <c r="A268">
        <f t="shared" si="12"/>
        <v>1</v>
      </c>
      <c r="B268">
        <f t="shared" si="13"/>
        <v>12164</v>
      </c>
      <c r="C268" t="str">
        <f>[1]!RegExpSubstitute(MID(H268,FIND("- ",H268)+2,FIND("- ",H268,FIND("- ",H268)+1)-FIND("- ",H268)-2),"\&amp;quot\;.*\&amp;quot\;\W","")</f>
        <v xml:space="preserve">Bruce Waynner </v>
      </c>
      <c r="D268" t="str">
        <f>VLOOKUP(SUBSTITUTE(TRIM(MID(H268,FIND(",TPE:",H268)-3,3)),"- ",""),Index!D:E,2,FALSE)</f>
        <v>Defensive Line</v>
      </c>
      <c r="E268" t="str">
        <f>MID(H268,FIND("(",H268)+1,FIND(")",H268)-FIND("(",H268)-1)</f>
        <v>S15</v>
      </c>
      <c r="F268" t="s">
        <v>381</v>
      </c>
      <c r="G268">
        <f t="shared" si="14"/>
        <v>59</v>
      </c>
      <c r="H268" t="s">
        <v>315</v>
      </c>
    </row>
    <row r="269" spans="1:8" x14ac:dyDescent="0.25">
      <c r="A269">
        <f t="shared" si="12"/>
        <v>1</v>
      </c>
      <c r="B269">
        <f t="shared" si="13"/>
        <v>12144</v>
      </c>
      <c r="C269" t="str">
        <f>[1]!RegExpSubstitute(MID(H269,FIND("- ",H269)+2,FIND("- ",H269,FIND("- ",H269)+1)-FIND("- ",H269)-2),"\&amp;quot\;.*\&amp;quot\;\W","")</f>
        <v xml:space="preserve">Neon Demon </v>
      </c>
      <c r="D269" t="str">
        <f>VLOOKUP(SUBSTITUTE(TRIM(MID(H269,FIND(",TPE:",H269)-3,3)),"- ",""),Index!D:E,2,FALSE)</f>
        <v>Cornerback</v>
      </c>
      <c r="E269" t="str">
        <f>MID(H269,FIND("(",H269)+1,FIND(")",H269)-FIND("(",H269)-1)</f>
        <v>S15</v>
      </c>
      <c r="F269" t="s">
        <v>381</v>
      </c>
      <c r="G269">
        <f t="shared" si="14"/>
        <v>50</v>
      </c>
      <c r="H269" t="s">
        <v>47</v>
      </c>
    </row>
    <row r="270" spans="1:8" x14ac:dyDescent="0.25">
      <c r="A270">
        <f t="shared" si="12"/>
        <v>1</v>
      </c>
      <c r="B270">
        <f t="shared" si="13"/>
        <v>12109</v>
      </c>
      <c r="C270" t="str">
        <f>[1]!RegExpSubstitute(MID(H270,FIND("- ",H270)+2,FIND("- ",H270,FIND("- ",H270)+1)-FIND("- ",H270)-2),"\&amp;quot\;.*\&amp;quot\;\W","")</f>
        <v xml:space="preserve">Quenton Bode </v>
      </c>
      <c r="D270" t="str">
        <f>VLOOKUP(SUBSTITUTE(TRIM(MID(H270,FIND(",TPE:",H270)-3,3)),"- ",""),Index!D:E,2,FALSE)</f>
        <v>Linebacker</v>
      </c>
      <c r="E270" t="str">
        <f>MID(H270,FIND("(",H270)+1,FIND(")",H270)-FIND("(",H270)-1)</f>
        <v>S15</v>
      </c>
      <c r="F270" t="s">
        <v>381</v>
      </c>
      <c r="G270">
        <f t="shared" si="14"/>
        <v>127</v>
      </c>
      <c r="H270" t="s">
        <v>316</v>
      </c>
    </row>
    <row r="271" spans="1:8" x14ac:dyDescent="0.25">
      <c r="A271">
        <f t="shared" si="12"/>
        <v>1</v>
      </c>
      <c r="B271">
        <f t="shared" si="13"/>
        <v>12113</v>
      </c>
      <c r="C271" t="str">
        <f>[1]!RegExpSubstitute(MID(H271,FIND("- ",H271)+2,FIND("- ",H271,FIND("- ",H271)+1)-FIND("- ",H271)-2),"\&amp;quot\;.*\&amp;quot\;\W","")</f>
        <v xml:space="preserve">Mo Berry </v>
      </c>
      <c r="D271" t="str">
        <f>VLOOKUP(SUBSTITUTE(TRIM(MID(H271,FIND(",TPE:",H271)-3,3)),"- ",""),Index!D:E,2,FALSE)</f>
        <v>Linebacker</v>
      </c>
      <c r="E271" t="str">
        <f>MID(H271,FIND("(",H271)+1,FIND(")",H271)-FIND("(",H271)-1)</f>
        <v>S15</v>
      </c>
      <c r="F271" t="s">
        <v>381</v>
      </c>
      <c r="G271">
        <f t="shared" si="14"/>
        <v>113</v>
      </c>
      <c r="H271" t="s">
        <v>317</v>
      </c>
    </row>
    <row r="272" spans="1:8" x14ac:dyDescent="0.25">
      <c r="A272">
        <f t="shared" si="12"/>
        <v>1</v>
      </c>
      <c r="B272">
        <f t="shared" si="13"/>
        <v>12034</v>
      </c>
      <c r="C272" t="str">
        <f>[1]!RegExpSubstitute(MID(H272,FIND("- ",H272)+2,FIND("- ",H272,FIND("- ",H272)+1)-FIND("- ",H272)-2),"\&amp;quot\;.*\&amp;quot\;\W","")</f>
        <v xml:space="preserve">Shaquill Williams VII </v>
      </c>
      <c r="D272" t="str">
        <f>VLOOKUP(SUBSTITUTE(TRIM(MID(H272,FIND(",TPE:",H272)-3,3)),"- ",""),Index!D:E,2,FALSE)</f>
        <v>Safety</v>
      </c>
      <c r="E272" t="str">
        <f>MID(H272,FIND("(",H272)+1,FIND(")",H272)-FIND("(",H272)-1)</f>
        <v>S15</v>
      </c>
      <c r="F272" t="s">
        <v>381</v>
      </c>
      <c r="G272">
        <f t="shared" si="14"/>
        <v>64</v>
      </c>
      <c r="H272" t="s">
        <v>48</v>
      </c>
    </row>
    <row r="273" spans="1:8" x14ac:dyDescent="0.25">
      <c r="A273">
        <f t="shared" si="12"/>
        <v>1</v>
      </c>
      <c r="B273">
        <f t="shared" si="13"/>
        <v>11947</v>
      </c>
      <c r="C273" t="str">
        <f>[1]!RegExpSubstitute(MID(H273,FIND("- ",H273)+2,FIND("- ",H273,FIND("- ",H273)+1)-FIND("- ",H273)-2),"\&amp;quot\;.*\&amp;quot\;\W","")</f>
        <v xml:space="preserve">Buchanan Simons </v>
      </c>
      <c r="D273" t="str">
        <f>VLOOKUP(SUBSTITUTE(TRIM(MID(H273,FIND(",TPE:",H273)-3,3)),"- ",""),Index!D:E,2,FALSE)</f>
        <v>Cornerback</v>
      </c>
      <c r="E273" t="str">
        <f>MID(H273,FIND("(",H273)+1,FIND(")",H273)-FIND("(",H273)-1)</f>
        <v>S14</v>
      </c>
      <c r="F273" t="s">
        <v>381</v>
      </c>
      <c r="G273">
        <f t="shared" si="14"/>
        <v>50</v>
      </c>
      <c r="H273" t="s">
        <v>49</v>
      </c>
    </row>
    <row r="274" spans="1:8" x14ac:dyDescent="0.25">
      <c r="A274">
        <f t="shared" si="12"/>
        <v>1</v>
      </c>
      <c r="B274">
        <f t="shared" si="13"/>
        <v>11775</v>
      </c>
      <c r="C274" t="str">
        <f>[1]!RegExpSubstitute(MID(H274,FIND("- ",H274)+2,FIND("- ",H274,FIND("- ",H274)+1)-FIND("- ",H274)-2),"\&amp;quot\;.*\&amp;quot\;\W","")</f>
        <v xml:space="preserve">Thad Castle </v>
      </c>
      <c r="D274" t="str">
        <f>VLOOKUP(SUBSTITUTE(TRIM(MID(H274,FIND(",TPE:",H274)-3,3)),"- ",""),Index!D:E,2,FALSE)</f>
        <v>Linebacker</v>
      </c>
      <c r="E274" t="str">
        <f>MID(H274,FIND("(",H274)+1,FIND(")",H274)-FIND("(",H274)-1)</f>
        <v>S14</v>
      </c>
      <c r="F274" t="s">
        <v>381</v>
      </c>
      <c r="G274">
        <f t="shared" si="14"/>
        <v>55</v>
      </c>
      <c r="H274" t="s">
        <v>50</v>
      </c>
    </row>
    <row r="275" spans="1:8" x14ac:dyDescent="0.25">
      <c r="A275">
        <f t="shared" si="12"/>
        <v>1</v>
      </c>
      <c r="B275">
        <f t="shared" si="13"/>
        <v>11764</v>
      </c>
      <c r="C275" t="str">
        <f>[1]!RegExpSubstitute(MID(H275,FIND("- ",H275)+2,FIND("- ",H275,FIND("- ",H275)+1)-FIND("- ",H275)-2),"\&amp;quot\;.*\&amp;quot\;\W","")</f>
        <v xml:space="preserve">James Andrews </v>
      </c>
      <c r="D275" t="str">
        <f>VLOOKUP(SUBSTITUTE(TRIM(MID(H275,FIND(",TPE:",H275)-3,3)),"- ",""),Index!D:E,2,FALSE)</f>
        <v>Defensive Line</v>
      </c>
      <c r="E275" t="str">
        <f>MID(H275,FIND("(",H275)+1,FIND(")",H275)-FIND("(",H275)-1)</f>
        <v>S14</v>
      </c>
      <c r="F275" t="s">
        <v>381</v>
      </c>
      <c r="G275">
        <f t="shared" si="14"/>
        <v>50</v>
      </c>
      <c r="H275" t="s">
        <v>51</v>
      </c>
    </row>
    <row r="276" spans="1:8" x14ac:dyDescent="0.25">
      <c r="A276">
        <f t="shared" si="12"/>
        <v>1</v>
      </c>
      <c r="B276">
        <f t="shared" si="13"/>
        <v>11747</v>
      </c>
      <c r="C276" t="str">
        <f>[1]!RegExpSubstitute(MID(H276,FIND("- ",H276)+2,FIND("- ",H276,FIND("- ",H276)+1)-FIND("- ",H276)-2),"\&amp;quot\;.*\&amp;quot\;\W","")</f>
        <v xml:space="preserve">Drew Maddox </v>
      </c>
      <c r="D276" t="str">
        <f>VLOOKUP(SUBSTITUTE(TRIM(MID(H276,FIND(",TPE:",H276)-3,3)),"- ",""),Index!D:E,2,FALSE)</f>
        <v>Wide Receiver</v>
      </c>
      <c r="E276" t="str">
        <f>MID(H276,FIND("(",H276)+1,FIND(")",H276)-FIND("(",H276)-1)</f>
        <v>S14</v>
      </c>
      <c r="F276" t="s">
        <v>381</v>
      </c>
      <c r="G276">
        <f t="shared" si="14"/>
        <v>79</v>
      </c>
      <c r="H276" t="s">
        <v>52</v>
      </c>
    </row>
    <row r="277" spans="1:8" x14ac:dyDescent="0.25">
      <c r="A277">
        <f t="shared" si="12"/>
        <v>1</v>
      </c>
      <c r="B277">
        <f t="shared" si="13"/>
        <v>11706</v>
      </c>
      <c r="C277" t="str">
        <f>[1]!RegExpSubstitute(MID(H277,FIND("- ",H277)+2,FIND("- ",H277,FIND("- ",H277)+1)-FIND("- ",H277)-2),"\&amp;quot\;.*\&amp;quot\;\W","")</f>
        <v xml:space="preserve">Joseph Henry </v>
      </c>
      <c r="D277" t="str">
        <f>VLOOKUP(SUBSTITUTE(TRIM(MID(H277,FIND(",TPE:",H277)-3,3)),"- ",""),Index!D:E,2,FALSE)</f>
        <v>Defensive Line</v>
      </c>
      <c r="E277" t="str">
        <f>MID(H277,FIND("(",H277)+1,FIND(")",H277)-FIND("(",H277)-1)</f>
        <v>S14</v>
      </c>
      <c r="F277" t="s">
        <v>381</v>
      </c>
      <c r="G277">
        <f t="shared" si="14"/>
        <v>158</v>
      </c>
      <c r="H277" t="s">
        <v>53</v>
      </c>
    </row>
    <row r="278" spans="1:8" x14ac:dyDescent="0.25">
      <c r="A278">
        <f t="shared" si="12"/>
        <v>1</v>
      </c>
      <c r="B278">
        <f t="shared" si="13"/>
        <v>11587</v>
      </c>
      <c r="C278" t="str">
        <f>[1]!RegExpSubstitute(MID(H278,FIND("- ",H278)+2,FIND("- ",H278,FIND("- ",H278)+1)-FIND("- ",H278)-2),"\&amp;quot\;.*\&amp;quot\;\W","")</f>
        <v xml:space="preserve">Cooter Bigsby </v>
      </c>
      <c r="D278" t="str">
        <f>VLOOKUP(SUBSTITUTE(TRIM(MID(H278,FIND(",TPE:",H278)-3,3)),"- ",""),Index!D:E,2,FALSE)</f>
        <v>Quarterback</v>
      </c>
      <c r="E278" t="str">
        <f>MID(H278,FIND("(",H278)+1,FIND(")",H278)-FIND("(",H278)-1)</f>
        <v>S14</v>
      </c>
      <c r="F278" t="s">
        <v>381</v>
      </c>
      <c r="G278">
        <f t="shared" si="14"/>
        <v>338</v>
      </c>
      <c r="H278" t="s">
        <v>318</v>
      </c>
    </row>
    <row r="279" spans="1:8" x14ac:dyDescent="0.25">
      <c r="A279">
        <f t="shared" si="12"/>
        <v>1</v>
      </c>
      <c r="B279">
        <f t="shared" si="13"/>
        <v>11499</v>
      </c>
      <c r="C279" t="str">
        <f>[1]!RegExpSubstitute(MID(H279,FIND("- ",H279)+2,FIND("- ",H279,FIND("- ",H279)+1)-FIND("- ",H279)-2),"\&amp;quot\;.*\&amp;quot\;\W","")</f>
        <v xml:space="preserve">Vander Jones </v>
      </c>
      <c r="D279" t="str">
        <f>VLOOKUP(SUBSTITUTE(TRIM(MID(H279,FIND(",TPE:",H279)-3,3)),"- ",""),Index!D:E,2,FALSE)</f>
        <v>Cornerback</v>
      </c>
      <c r="E279" t="str">
        <f>MID(H279,FIND("(",H279)+1,FIND(")",H279)-FIND("(",H279)-1)</f>
        <v>S13</v>
      </c>
      <c r="F279" t="s">
        <v>381</v>
      </c>
      <c r="G279">
        <f t="shared" si="14"/>
        <v>226</v>
      </c>
      <c r="H279" t="s">
        <v>319</v>
      </c>
    </row>
    <row r="280" spans="1:8" x14ac:dyDescent="0.25">
      <c r="A280">
        <f t="shared" si="12"/>
        <v>1</v>
      </c>
      <c r="B280">
        <f t="shared" si="13"/>
        <v>11408</v>
      </c>
      <c r="C280" t="str">
        <f>[1]!RegExpSubstitute(MID(H280,FIND("- ",H280)+2,FIND("- ",H280,FIND("- ",H280)+1)-FIND("- ",H280)-2),"\&amp;quot\;.*\&amp;quot\;\W","")</f>
        <v xml:space="preserve">Chris Steele </v>
      </c>
      <c r="D280" t="str">
        <f>VLOOKUP(SUBSTITUTE(TRIM(MID(H280,FIND(",TPE:",H280)-3,3)),"- ",""),Index!D:E,2,FALSE)</f>
        <v>Cornerback</v>
      </c>
      <c r="E280" t="str">
        <f>MID(H280,FIND("(",H280)+1,FIND(")",H280)-FIND("(",H280)-1)</f>
        <v>S13</v>
      </c>
      <c r="F280" t="s">
        <v>381</v>
      </c>
      <c r="G280">
        <f t="shared" si="14"/>
        <v>142</v>
      </c>
      <c r="H280" t="s">
        <v>167</v>
      </c>
    </row>
    <row r="281" spans="1:8" x14ac:dyDescent="0.25">
      <c r="A281">
        <f t="shared" si="12"/>
        <v>1</v>
      </c>
      <c r="B281">
        <f t="shared" si="13"/>
        <v>11044</v>
      </c>
      <c r="C281" t="str">
        <f>[1]!RegExpSubstitute(MID(H281,FIND("- ",H281)+2,FIND("- ",H281,FIND("- ",H281)+1)-FIND("- ",H281)-2),"\&amp;quot\;.*\&amp;quot\;\W","")</f>
        <v xml:space="preserve">Eric McStrong </v>
      </c>
      <c r="D281" t="str">
        <f>VLOOKUP(SUBSTITUTE(TRIM(MID(H281,FIND(",TPE:",H281)-3,3)),"- ",""),Index!D:E,2,FALSE)</f>
        <v>Defensive Line</v>
      </c>
      <c r="E281" t="str">
        <f>MID(H281,FIND("(",H281)+1,FIND(")",H281)-FIND("(",H281)-1)</f>
        <v>S13</v>
      </c>
      <c r="F281" t="s">
        <v>381</v>
      </c>
      <c r="G281">
        <f t="shared" si="14"/>
        <v>50</v>
      </c>
      <c r="H281" t="s">
        <v>54</v>
      </c>
    </row>
    <row r="282" spans="1:8" x14ac:dyDescent="0.25">
      <c r="A282">
        <f t="shared" si="12"/>
        <v>1</v>
      </c>
      <c r="B282">
        <f t="shared" si="13"/>
        <v>10973</v>
      </c>
      <c r="C282" t="str">
        <f>[1]!RegExpSubstitute(MID(H282,FIND("- ",H282)+2,FIND("- ",H282,FIND("- ",H282)+1)-FIND("- ",H282)-2),"\&amp;quot\;.*\&amp;quot\;\W","")</f>
        <v xml:space="preserve">Jon Gott </v>
      </c>
      <c r="D282" t="str">
        <f>VLOOKUP(SUBSTITUTE(TRIM(MID(H282,FIND(",TPE:",H282)-3,3)),"- ",""),Index!D:E,2,FALSE)</f>
        <v>Linebacker</v>
      </c>
      <c r="E282" t="str">
        <f>MID(H282,FIND("(",H282)+1,FIND(")",H282)-FIND("(",H282)-1)</f>
        <v>S12</v>
      </c>
      <c r="F282" t="s">
        <v>381</v>
      </c>
      <c r="G282">
        <f t="shared" si="14"/>
        <v>148</v>
      </c>
      <c r="H282" t="s">
        <v>55</v>
      </c>
    </row>
    <row r="283" spans="1:8" x14ac:dyDescent="0.25">
      <c r="A283">
        <f t="shared" si="12"/>
        <v>1</v>
      </c>
      <c r="B283">
        <f t="shared" si="13"/>
        <v>10516</v>
      </c>
      <c r="C283" t="str">
        <f>[1]!RegExpSubstitute(MID(H283,FIND("- ",H283)+2,FIND("- ",H283,FIND("- ",H283)+1)-FIND("- ",H283)-2),"\&amp;quot\;.*\&amp;quot\;\W","")</f>
        <v xml:space="preserve">Devon Baxter </v>
      </c>
      <c r="D283" t="str">
        <f>VLOOKUP(SUBSTITUTE(TRIM(MID(H283,FIND(",TPE:",H283)-3,3)),"- ",""),Index!D:E,2,FALSE)</f>
        <v>Wide Receiver</v>
      </c>
      <c r="E283" t="str">
        <f>MID(H283,FIND("(",H283)+1,FIND(")",H283)-FIND("(",H283)-1)</f>
        <v>S12</v>
      </c>
      <c r="F283" t="s">
        <v>381</v>
      </c>
      <c r="G283">
        <f t="shared" si="14"/>
        <v>178</v>
      </c>
      <c r="H283" t="s">
        <v>209</v>
      </c>
    </row>
    <row r="284" spans="1:8" x14ac:dyDescent="0.25">
      <c r="A284">
        <f t="shared" si="12"/>
        <v>1</v>
      </c>
      <c r="B284">
        <f t="shared" si="13"/>
        <v>10390</v>
      </c>
      <c r="C284" t="str">
        <f>[1]!RegExpSubstitute(MID(H284,FIND("- ",H284)+2,FIND("- ",H284,FIND("- ",H284)+1)-FIND("- ",H284)-2),"\&amp;quot\;.*\&amp;quot\;\W","")</f>
        <v xml:space="preserve">Spencer Lawes </v>
      </c>
      <c r="D284" t="str">
        <f>VLOOKUP(SUBSTITUTE(TRIM(MID(H284,FIND(",TPE:",H284)-3,3)),"- ",""),Index!D:E,2,FALSE)</f>
        <v>Kicker</v>
      </c>
      <c r="E284" t="str">
        <f>MID(H284,FIND("(",H284)+1,FIND(")",H284)-FIND("(",H284)-1)</f>
        <v>S11</v>
      </c>
      <c r="F284" t="s">
        <v>381</v>
      </c>
      <c r="G284">
        <f t="shared" si="14"/>
        <v>110</v>
      </c>
      <c r="H284" t="s">
        <v>56</v>
      </c>
    </row>
    <row r="285" spans="1:8" x14ac:dyDescent="0.25">
      <c r="A285">
        <f t="shared" si="12"/>
        <v>1</v>
      </c>
      <c r="B285">
        <f t="shared" si="13"/>
        <v>10046</v>
      </c>
      <c r="C285" t="str">
        <f>[1]!RegExpSubstitute(MID(H285,FIND("- ",H285)+2,FIND("- ",H285,FIND("- ",H285)+1)-FIND("- ",H285)-2),"\&amp;quot\;.*\&amp;quot\;\W","")</f>
        <v xml:space="preserve">Clark Kent </v>
      </c>
      <c r="D285" t="str">
        <f>VLOOKUP(SUBSTITUTE(TRIM(MID(H285,FIND(",TPE:",H285)-3,3)),"- ",""),Index!D:E,2,FALSE)</f>
        <v>Linebacker</v>
      </c>
      <c r="E285" t="str">
        <f>MID(H285,FIND("(",H285)+1,FIND(")",H285)-FIND("(",H285)-1)</f>
        <v>S11</v>
      </c>
      <c r="F285" t="s">
        <v>381</v>
      </c>
      <c r="G285">
        <f t="shared" si="14"/>
        <v>81</v>
      </c>
      <c r="H285" t="s">
        <v>57</v>
      </c>
    </row>
    <row r="286" spans="1:8" x14ac:dyDescent="0.25">
      <c r="A286">
        <f t="shared" si="12"/>
        <v>1</v>
      </c>
      <c r="B286">
        <f t="shared" si="13"/>
        <v>12839</v>
      </c>
      <c r="C286" t="str">
        <f>[1]!RegExpSubstitute(MID(H286,FIND("- ",H286)+2,FIND("- ",H286,FIND("- ",H286)+1)-FIND("- ",H286)-2),"\&amp;quot\;.*\&amp;quot\;\W","")</f>
        <v xml:space="preserve">Michael Beckham </v>
      </c>
      <c r="D286" t="str">
        <f>VLOOKUP(SUBSTITUTE(TRIM(MID(H286,FIND(",TPE:",H286)-3,3)),"- ",""),Index!D:E,2,FALSE)</f>
        <v>Linebacker</v>
      </c>
      <c r="E286" t="str">
        <f>MID(H286,FIND("(",H286)+1,FIND(")",H286)-FIND("(",H286)-1)</f>
        <v>S15</v>
      </c>
      <c r="F286" t="s">
        <v>382</v>
      </c>
      <c r="G286">
        <f t="shared" si="14"/>
        <v>50</v>
      </c>
      <c r="H286" t="s">
        <v>320</v>
      </c>
    </row>
    <row r="287" spans="1:8" x14ac:dyDescent="0.25">
      <c r="A287">
        <f t="shared" si="12"/>
        <v>1</v>
      </c>
      <c r="B287">
        <f t="shared" si="13"/>
        <v>12700</v>
      </c>
      <c r="C287" t="str">
        <f>[1]!RegExpSubstitute(MID(H287,FIND("- ",H287)+2,FIND("- ",H287,FIND("- ",H287)+1)-FIND("- ",H287)-2),"\&amp;quot\;.*\&amp;quot\;\W","")</f>
        <v xml:space="preserve">Rod Tidwell </v>
      </c>
      <c r="D287" t="str">
        <f>VLOOKUP(SUBSTITUTE(TRIM(MID(H287,FIND(",TPE:",H287)-3,3)),"- ",""),Index!D:E,2,FALSE)</f>
        <v>Wide Receiver</v>
      </c>
      <c r="E287" t="str">
        <f>MID(H287,FIND("(",H287)+1,FIND(")",H287)-FIND("(",H287)-1)</f>
        <v>S15</v>
      </c>
      <c r="F287" t="s">
        <v>382</v>
      </c>
      <c r="G287">
        <f t="shared" si="14"/>
        <v>130</v>
      </c>
      <c r="H287" t="s">
        <v>321</v>
      </c>
    </row>
    <row r="288" spans="1:8" x14ac:dyDescent="0.25">
      <c r="A288">
        <f t="shared" si="12"/>
        <v>1</v>
      </c>
      <c r="B288">
        <f t="shared" si="13"/>
        <v>12688</v>
      </c>
      <c r="C288" t="str">
        <f>[1]!RegExpSubstitute(MID(H288,FIND("- ",H288)+2,FIND("- ",H288,FIND("- ",H288)+1)-FIND("- ",H288)-2),"\&amp;quot\;.*\&amp;quot\;\W","")</f>
        <v xml:space="preserve">Luca Ramero </v>
      </c>
      <c r="D288" t="str">
        <f>VLOOKUP(SUBSTITUTE(TRIM(MID(H288,FIND(",TPE:",H288)-3,3)),"- ",""),Index!D:E,2,FALSE)</f>
        <v>Wide Receiver</v>
      </c>
      <c r="E288" t="str">
        <f>MID(H288,FIND("(",H288)+1,FIND(")",H288)-FIND("(",H288)-1)</f>
        <v>S15</v>
      </c>
      <c r="F288" t="s">
        <v>382</v>
      </c>
      <c r="G288">
        <f t="shared" si="14"/>
        <v>50</v>
      </c>
      <c r="H288" t="s">
        <v>58</v>
      </c>
    </row>
    <row r="289" spans="1:8" x14ac:dyDescent="0.25">
      <c r="A289">
        <f t="shared" si="12"/>
        <v>1</v>
      </c>
      <c r="B289">
        <f t="shared" si="13"/>
        <v>12535</v>
      </c>
      <c r="C289" t="str">
        <f>[1]!RegExpSubstitute(MID(H289,FIND("- ",H289)+2,FIND("- ",H289,FIND("- ",H289)+1)-FIND("- ",H289)-2),"\&amp;quot\;.*\&amp;quot\;\W","")</f>
        <v xml:space="preserve">TJ Hendrix </v>
      </c>
      <c r="D289" t="str">
        <f>VLOOKUP(SUBSTITUTE(TRIM(MID(H289,FIND(",TPE:",H289)-3,3)),"- ",""),Index!D:E,2,FALSE)</f>
        <v>Quarterback</v>
      </c>
      <c r="E289" t="str">
        <f>MID(H289,FIND("(",H289)+1,FIND(")",H289)-FIND("(",H289)-1)</f>
        <v>S15</v>
      </c>
      <c r="F289" t="s">
        <v>382</v>
      </c>
      <c r="G289">
        <f t="shared" si="14"/>
        <v>65</v>
      </c>
      <c r="H289" t="s">
        <v>322</v>
      </c>
    </row>
    <row r="290" spans="1:8" x14ac:dyDescent="0.25">
      <c r="A290">
        <f t="shared" si="12"/>
        <v>1</v>
      </c>
      <c r="B290">
        <f t="shared" si="13"/>
        <v>12532</v>
      </c>
      <c r="C290" t="str">
        <f>[1]!RegExpSubstitute(MID(H290,FIND("- ",H290)+2,FIND("- ",H290,FIND("- ",H290)+1)-FIND("- ",H290)-2),"\&amp;quot\;.*\&amp;quot\;\W","")</f>
        <v xml:space="preserve">Edmond Beaver-Dantes </v>
      </c>
      <c r="D290" t="str">
        <f>VLOOKUP(SUBSTITUTE(TRIM(MID(H290,FIND(",TPE:",H290)-3,3)),"- ",""),Index!D:E,2,FALSE)</f>
        <v>Offensive Line</v>
      </c>
      <c r="E290" t="str">
        <f>MID(H290,FIND("(",H290)+1,FIND(")",H290)-FIND("(",H290)-1)</f>
        <v>S15</v>
      </c>
      <c r="F290" t="s">
        <v>382</v>
      </c>
      <c r="G290">
        <f t="shared" si="14"/>
        <v>141</v>
      </c>
      <c r="H290" t="s">
        <v>323</v>
      </c>
    </row>
    <row r="291" spans="1:8" x14ac:dyDescent="0.25">
      <c r="A291">
        <f t="shared" si="12"/>
        <v>1</v>
      </c>
      <c r="B291">
        <f t="shared" si="13"/>
        <v>12367</v>
      </c>
      <c r="C291" t="str">
        <f>[1]!RegExpSubstitute(MID(H291,FIND("- ",H291)+2,FIND("- ",H291,FIND("- ",H291)+1)-FIND("- ",H291)-2),"\&amp;quot\;.*\&amp;quot\;\W","")</f>
        <v xml:space="preserve">Groovy Johnson </v>
      </c>
      <c r="D291" t="str">
        <f>VLOOKUP(SUBSTITUTE(TRIM(MID(H291,FIND(",TPE:",H291)-3,3)),"- ",""),Index!D:E,2,FALSE)</f>
        <v>Cornerback</v>
      </c>
      <c r="E291" t="str">
        <f>MID(H291,FIND("(",H291)+1,FIND(")",H291)-FIND("(",H291)-1)</f>
        <v>S15</v>
      </c>
      <c r="F291" t="s">
        <v>382</v>
      </c>
      <c r="G291">
        <f t="shared" si="14"/>
        <v>59</v>
      </c>
      <c r="H291" t="s">
        <v>324</v>
      </c>
    </row>
    <row r="292" spans="1:8" x14ac:dyDescent="0.25">
      <c r="A292">
        <f t="shared" si="12"/>
        <v>1</v>
      </c>
      <c r="B292">
        <f t="shared" si="13"/>
        <v>12384</v>
      </c>
      <c r="C292" t="str">
        <f>[1]!RegExpSubstitute(MID(H292,FIND("- ",H292)+2,FIND("- ",H292,FIND("- ",H292)+1)-FIND("- ",H292)-2),"\&amp;quot\;.*\&amp;quot\;\W","")</f>
        <v xml:space="preserve">Jammerson Irving </v>
      </c>
      <c r="D292" t="str">
        <f>VLOOKUP(SUBSTITUTE(TRIM(MID(H292,FIND(",TPE:",H292)-3,3)),"- ",""),Index!D:E,2,FALSE)</f>
        <v>Tight End</v>
      </c>
      <c r="E292" t="str">
        <f>MID(H292,FIND("(",H292)+1,FIND(")",H292)-FIND("(",H292)-1)</f>
        <v>S15</v>
      </c>
      <c r="F292" t="s">
        <v>382</v>
      </c>
      <c r="G292">
        <f t="shared" si="14"/>
        <v>108</v>
      </c>
      <c r="H292" t="s">
        <v>325</v>
      </c>
    </row>
    <row r="293" spans="1:8" x14ac:dyDescent="0.25">
      <c r="A293">
        <f t="shared" si="12"/>
        <v>1</v>
      </c>
      <c r="B293">
        <f t="shared" si="13"/>
        <v>12413</v>
      </c>
      <c r="C293" t="str">
        <f>[1]!RegExpSubstitute(MID(H293,FIND("- ",H293)+2,FIND("- ",H293,FIND("- ",H293)+1)-FIND("- ",H293)-2),"\&amp;quot\;.*\&amp;quot\;\W","")</f>
        <v xml:space="preserve">Brave Ulysses </v>
      </c>
      <c r="D293" t="str">
        <f>VLOOKUP(SUBSTITUTE(TRIM(MID(H293,FIND(",TPE:",H293)-3,3)),"- ",""),Index!D:E,2,FALSE)</f>
        <v>Offensive Line</v>
      </c>
      <c r="E293" t="str">
        <f>MID(H293,FIND("(",H293)+1,FIND(")",H293)-FIND("(",H293)-1)</f>
        <v>S15</v>
      </c>
      <c r="F293" t="s">
        <v>382</v>
      </c>
      <c r="G293">
        <f t="shared" si="14"/>
        <v>134</v>
      </c>
      <c r="H293" t="s">
        <v>326</v>
      </c>
    </row>
    <row r="294" spans="1:8" x14ac:dyDescent="0.25">
      <c r="A294">
        <f t="shared" si="12"/>
        <v>1</v>
      </c>
      <c r="B294">
        <f t="shared" si="13"/>
        <v>12371</v>
      </c>
      <c r="C294" t="str">
        <f>[1]!RegExpSubstitute(MID(H294,FIND("- ",H294)+2,FIND("- ",H294,FIND("- ",H294)+1)-FIND("- ",H294)-2),"\&amp;quot\;.*\&amp;quot\;\W","")</f>
        <v xml:space="preserve">Carlomagno Rey </v>
      </c>
      <c r="D294" t="str">
        <f>VLOOKUP(SUBSTITUTE(TRIM(MID(H294,FIND(",TPE:",H294)-3,3)),"- ",""),Index!D:E,2,FALSE)</f>
        <v>Wide Receiver</v>
      </c>
      <c r="E294" t="str">
        <f>MID(H294,FIND("(",H294)+1,FIND(")",H294)-FIND("(",H294)-1)</f>
        <v>S15</v>
      </c>
      <c r="F294" t="s">
        <v>382</v>
      </c>
      <c r="G294">
        <f t="shared" si="14"/>
        <v>62</v>
      </c>
      <c r="H294" t="s">
        <v>327</v>
      </c>
    </row>
    <row r="295" spans="1:8" x14ac:dyDescent="0.25">
      <c r="A295">
        <f t="shared" si="12"/>
        <v>1</v>
      </c>
      <c r="B295">
        <f t="shared" si="13"/>
        <v>12127</v>
      </c>
      <c r="C295" t="str">
        <f>[1]!RegExpSubstitute(MID(H295,FIND("- ",H295)+2,FIND("- ",H295,FIND("- ",H295)+1)-FIND("- ",H295)-2),"\&amp;quot\;.*\&amp;quot\;\W","")</f>
        <v xml:space="preserve">Trey Moffat </v>
      </c>
      <c r="D295" t="str">
        <f>VLOOKUP(SUBSTITUTE(TRIM(MID(H295,FIND(",TPE:",H295)-3,3)),"- ",""),Index!D:E,2,FALSE)</f>
        <v>Runningback</v>
      </c>
      <c r="E295" t="str">
        <f>MID(H295,FIND("(",H295)+1,FIND(")",H295)-FIND("(",H295)-1)</f>
        <v>S15</v>
      </c>
      <c r="F295" t="s">
        <v>382</v>
      </c>
      <c r="G295">
        <f t="shared" si="14"/>
        <v>50</v>
      </c>
      <c r="H295" t="s">
        <v>59</v>
      </c>
    </row>
    <row r="296" spans="1:8" x14ac:dyDescent="0.25">
      <c r="A296">
        <f t="shared" si="12"/>
        <v>1</v>
      </c>
      <c r="B296">
        <f t="shared" si="13"/>
        <v>12170</v>
      </c>
      <c r="C296" t="str">
        <f>[1]!RegExpSubstitute(MID(H296,FIND("- ",H296)+2,FIND("- ",H296,FIND("- ",H296)+1)-FIND("- ",H296)-2),"\&amp;quot\;.*\&amp;quot\;\W","")</f>
        <v xml:space="preserve">Jacob Rowan </v>
      </c>
      <c r="D296" t="str">
        <f>VLOOKUP(SUBSTITUTE(TRIM(MID(H296,FIND(",TPE:",H296)-3,3)),"- ",""),Index!D:E,2,FALSE)</f>
        <v>Offensive Line</v>
      </c>
      <c r="E296" t="str">
        <f>MID(H296,FIND("(",H296)+1,FIND(")",H296)-FIND("(",H296)-1)</f>
        <v>S15</v>
      </c>
      <c r="F296" t="s">
        <v>382</v>
      </c>
      <c r="G296">
        <f t="shared" si="14"/>
        <v>72</v>
      </c>
      <c r="H296" t="s">
        <v>328</v>
      </c>
    </row>
    <row r="297" spans="1:8" x14ac:dyDescent="0.25">
      <c r="A297">
        <f t="shared" si="12"/>
        <v>1</v>
      </c>
      <c r="B297">
        <f t="shared" si="13"/>
        <v>12260</v>
      </c>
      <c r="C297" t="str">
        <f>[1]!RegExpSubstitute(MID(H297,FIND("- ",H297)+2,FIND("- ",H297,FIND("- ",H297)+1)-FIND("- ",H297)-2),"\&amp;quot\;.*\&amp;quot\;\W","")</f>
        <v xml:space="preserve">Forrest Gump </v>
      </c>
      <c r="D297" t="str">
        <f>VLOOKUP(SUBSTITUTE(TRIM(MID(H297,FIND(",TPE:",H297)-3,3)),"- ",""),Index!D:E,2,FALSE)</f>
        <v>Runningback</v>
      </c>
      <c r="E297" t="str">
        <f>MID(H297,FIND("(",H297)+1,FIND(")",H297)-FIND("(",H297)-1)</f>
        <v>S15</v>
      </c>
      <c r="F297" t="s">
        <v>382</v>
      </c>
      <c r="G297">
        <f t="shared" si="14"/>
        <v>114</v>
      </c>
      <c r="H297" t="s">
        <v>329</v>
      </c>
    </row>
    <row r="298" spans="1:8" x14ac:dyDescent="0.25">
      <c r="A298">
        <f t="shared" si="12"/>
        <v>1</v>
      </c>
      <c r="B298">
        <f t="shared" si="13"/>
        <v>12255</v>
      </c>
      <c r="C298" t="str">
        <f>[1]!RegExpSubstitute(MID(H298,FIND("- ",H298)+2,FIND("- ",H298,FIND("- ",H298)+1)-FIND("- ",H298)-2),"\&amp;quot\;.*\&amp;quot\;\W","")</f>
        <v xml:space="preserve">Momodou Jallow </v>
      </c>
      <c r="D298" t="str">
        <f>VLOOKUP(SUBSTITUTE(TRIM(MID(H298,FIND(",TPE:",H298)-3,3)),"- ",""),Index!D:E,2,FALSE)</f>
        <v>Safety</v>
      </c>
      <c r="E298" t="str">
        <f>MID(H298,FIND("(",H298)+1,FIND(")",H298)-FIND("(",H298)-1)</f>
        <v>S15</v>
      </c>
      <c r="F298" t="s">
        <v>382</v>
      </c>
      <c r="G298">
        <f t="shared" si="14"/>
        <v>76</v>
      </c>
      <c r="H298" t="s">
        <v>330</v>
      </c>
    </row>
    <row r="299" spans="1:8" x14ac:dyDescent="0.25">
      <c r="A299">
        <f t="shared" si="12"/>
        <v>1</v>
      </c>
      <c r="B299">
        <f t="shared" si="13"/>
        <v>12196</v>
      </c>
      <c r="C299" t="str">
        <f>[1]!RegExpSubstitute(MID(H299,FIND("- ",H299)+2,FIND("- ",H299,FIND("- ",H299)+1)-FIND("- ",H299)-2),"\&amp;quot\;.*\&amp;quot\;\W","")</f>
        <v xml:space="preserve">Bill Inohi </v>
      </c>
      <c r="D299" t="str">
        <f>VLOOKUP(SUBSTITUTE(TRIM(MID(H299,FIND(",TPE:",H299)-3,3)),"- ",""),Index!D:E,2,FALSE)</f>
        <v>Defensive Line</v>
      </c>
      <c r="E299" t="str">
        <f>MID(H299,FIND("(",H299)+1,FIND(")",H299)-FIND("(",H299)-1)</f>
        <v>S15</v>
      </c>
      <c r="F299" t="s">
        <v>382</v>
      </c>
      <c r="G299">
        <f t="shared" si="14"/>
        <v>59</v>
      </c>
      <c r="H299" t="s">
        <v>331</v>
      </c>
    </row>
    <row r="300" spans="1:8" x14ac:dyDescent="0.25">
      <c r="A300">
        <f t="shared" si="12"/>
        <v>1</v>
      </c>
      <c r="B300">
        <f t="shared" si="13"/>
        <v>12175</v>
      </c>
      <c r="C300" t="str">
        <f>[1]!RegExpSubstitute(MID(H300,FIND("- ",H300)+2,FIND("- ",H300,FIND("- ",H300)+1)-FIND("- ",H300)-2),"\&amp;quot\;.*\&amp;quot\;\W","")</f>
        <v xml:space="preserve">Martavius Mack </v>
      </c>
      <c r="D300" t="str">
        <f>VLOOKUP(SUBSTITUTE(TRIM(MID(H300,FIND(",TPE:",H300)-3,3)),"- ",""),Index!D:E,2,FALSE)</f>
        <v>Safety</v>
      </c>
      <c r="E300" t="str">
        <f>MID(H300,FIND("(",H300)+1,FIND(")",H300)-FIND("(",H300)-1)</f>
        <v>S15</v>
      </c>
      <c r="F300" t="s">
        <v>382</v>
      </c>
      <c r="G300">
        <f t="shared" si="14"/>
        <v>74</v>
      </c>
      <c r="H300" t="s">
        <v>332</v>
      </c>
    </row>
    <row r="301" spans="1:8" x14ac:dyDescent="0.25">
      <c r="A301">
        <f t="shared" si="12"/>
        <v>1</v>
      </c>
      <c r="B301">
        <f t="shared" si="13"/>
        <v>12165</v>
      </c>
      <c r="C301" t="str">
        <f>[1]!RegExpSubstitute(MID(H301,FIND("- ",H301)+2,FIND("- ",H301,FIND("- ",H301)+1)-FIND("- ",H301)-2),"\&amp;quot\;.*\&amp;quot\;\W","")</f>
        <v xml:space="preserve">Troy Humuhumunukunukuāpuaʻa </v>
      </c>
      <c r="D301" t="str">
        <f>VLOOKUP(SUBSTITUTE(TRIM(MID(H301,FIND(",TPE:",H301)-3,3)),"- ",""),Index!D:E,2,FALSE)</f>
        <v>Safety</v>
      </c>
      <c r="E301" t="str">
        <f>MID(H301,FIND("(",H301)+1,FIND(")",H301)-FIND("(",H301)-1)</f>
        <v>S15</v>
      </c>
      <c r="F301" t="s">
        <v>382</v>
      </c>
      <c r="G301">
        <f t="shared" si="14"/>
        <v>111</v>
      </c>
      <c r="H301" t="s">
        <v>333</v>
      </c>
    </row>
    <row r="302" spans="1:8" x14ac:dyDescent="0.25">
      <c r="A302">
        <f t="shared" si="12"/>
        <v>1</v>
      </c>
      <c r="B302">
        <f t="shared" si="13"/>
        <v>12061</v>
      </c>
      <c r="C302" t="str">
        <f>[1]!RegExpSubstitute(MID(H302,FIND("- ",H302)+2,FIND("- ",H302,FIND("- ",H302)+1)-FIND("- ",H302)-2),"\&amp;quot\;.*\&amp;quot\;\W","")</f>
        <v xml:space="preserve">Lo Mein </v>
      </c>
      <c r="D302" t="str">
        <f>VLOOKUP(SUBSTITUTE(TRIM(MID(H302,FIND(",TPE:",H302)-3,3)),"- ",""),Index!D:E,2,FALSE)</f>
        <v>Defensive Line</v>
      </c>
      <c r="E302" t="str">
        <f>MID(H302,FIND("(",H302)+1,FIND(")",H302)-FIND("(",H302)-1)</f>
        <v>S15</v>
      </c>
      <c r="F302" t="s">
        <v>382</v>
      </c>
      <c r="G302">
        <f t="shared" si="14"/>
        <v>69</v>
      </c>
      <c r="H302" t="s">
        <v>334</v>
      </c>
    </row>
    <row r="303" spans="1:8" x14ac:dyDescent="0.25">
      <c r="A303">
        <f t="shared" si="12"/>
        <v>1</v>
      </c>
      <c r="B303">
        <f t="shared" si="13"/>
        <v>12022</v>
      </c>
      <c r="C303" t="str">
        <f>[1]!RegExpSubstitute(MID(H303,FIND("- ",H303)+2,FIND("- ",H303,FIND("- ",H303)+1)-FIND("- ",H303)-2),"\&amp;quot\;.*\&amp;quot\;\W","")</f>
        <v xml:space="preserve">Troy Bryant </v>
      </c>
      <c r="D303" t="str">
        <f>VLOOKUP(SUBSTITUTE(TRIM(MID(H303,FIND(",TPE:",H303)-3,3)),"- ",""),Index!D:E,2,FALSE)</f>
        <v>Cornerback</v>
      </c>
      <c r="E303" t="str">
        <f>MID(H303,FIND("(",H303)+1,FIND(")",H303)-FIND("(",H303)-1)</f>
        <v>S15</v>
      </c>
      <c r="F303" t="s">
        <v>382</v>
      </c>
      <c r="G303">
        <f t="shared" si="14"/>
        <v>57</v>
      </c>
      <c r="H303" t="s">
        <v>60</v>
      </c>
    </row>
    <row r="304" spans="1:8" x14ac:dyDescent="0.25">
      <c r="A304">
        <f t="shared" si="12"/>
        <v>1</v>
      </c>
      <c r="B304">
        <f t="shared" si="13"/>
        <v>12011</v>
      </c>
      <c r="C304" t="str">
        <f>[1]!RegExpSubstitute(MID(H304,FIND("- ",H304)+2,FIND("- ",H304,FIND("- ",H304)+1)-FIND("- ",H304)-2),"\&amp;quot\;.*\&amp;quot\;\W","")</f>
        <v xml:space="preserve">Johnny Slothface </v>
      </c>
      <c r="D304" t="str">
        <f>VLOOKUP(SUBSTITUTE(TRIM(MID(H304,FIND(",TPE:",H304)-3,3)),"- ",""),Index!D:E,2,FALSE)</f>
        <v>Linebacker</v>
      </c>
      <c r="E304" t="str">
        <f>MID(H304,FIND("(",H304)+1,FIND(")",H304)-FIND("(",H304)-1)</f>
        <v>S15</v>
      </c>
      <c r="F304" t="s">
        <v>382</v>
      </c>
      <c r="G304">
        <f t="shared" si="14"/>
        <v>175</v>
      </c>
      <c r="H304" t="s">
        <v>335</v>
      </c>
    </row>
    <row r="305" spans="1:8" x14ac:dyDescent="0.25">
      <c r="A305">
        <f t="shared" si="12"/>
        <v>1</v>
      </c>
      <c r="B305">
        <f t="shared" si="13"/>
        <v>11980</v>
      </c>
      <c r="C305" t="str">
        <f>[1]!RegExpSubstitute(MID(H305,FIND("- ",H305)+2,FIND("- ",H305,FIND("- ",H305)+1)-FIND("- ",H305)-2),"\&amp;quot\;.*\&amp;quot\;\W","")</f>
        <v xml:space="preserve">JoJo Burr-Kirven </v>
      </c>
      <c r="D305" t="str">
        <f>VLOOKUP(SUBSTITUTE(TRIM(MID(H305,FIND(",TPE:",H305)-3,3)),"- ",""),Index!D:E,2,FALSE)</f>
        <v>Linebacker</v>
      </c>
      <c r="E305" t="str">
        <f>MID(H305,FIND("(",H305)+1,FIND(")",H305)-FIND("(",H305)-1)</f>
        <v>S15</v>
      </c>
      <c r="F305" t="s">
        <v>382</v>
      </c>
      <c r="G305">
        <f t="shared" si="14"/>
        <v>72</v>
      </c>
      <c r="H305" t="s">
        <v>336</v>
      </c>
    </row>
    <row r="306" spans="1:8" x14ac:dyDescent="0.25">
      <c r="A306">
        <f t="shared" si="12"/>
        <v>1</v>
      </c>
      <c r="B306">
        <f t="shared" si="13"/>
        <v>11785</v>
      </c>
      <c r="C306" t="str">
        <f>[1]!RegExpSubstitute(MID(H306,FIND("- ",H306)+2,FIND("- ",H306,FIND("- ",H306)+1)-FIND("- ",H306)-2),"\&amp;quot\;.*\&amp;quot\;\W","")</f>
        <v xml:space="preserve">Dingus Hunk </v>
      </c>
      <c r="D306" t="str">
        <f>VLOOKUP(SUBSTITUTE(TRIM(MID(H306,FIND(",TPE:",H306)-3,3)),"- ",""),Index!D:E,2,FALSE)</f>
        <v>Defensive Line</v>
      </c>
      <c r="E306" t="str">
        <f>MID(H306,FIND("(",H306)+1,FIND(")",H306)-FIND("(",H306)-1)</f>
        <v>S14</v>
      </c>
      <c r="F306" t="s">
        <v>382</v>
      </c>
      <c r="G306">
        <f t="shared" si="14"/>
        <v>82</v>
      </c>
      <c r="H306" t="s">
        <v>61</v>
      </c>
    </row>
    <row r="307" spans="1:8" x14ac:dyDescent="0.25">
      <c r="A307">
        <f t="shared" si="12"/>
        <v>1</v>
      </c>
      <c r="B307">
        <f t="shared" si="13"/>
        <v>11735</v>
      </c>
      <c r="C307" t="str">
        <f>[1]!RegExpSubstitute(MID(H307,FIND("- ",H307)+2,FIND("- ",H307,FIND("- ",H307)+1)-FIND("- ",H307)-2),"\&amp;quot\;.*\&amp;quot\;\W","")</f>
        <v xml:space="preserve">Brett Tacony </v>
      </c>
      <c r="D307" t="str">
        <f>VLOOKUP(SUBSTITUTE(TRIM(MID(H307,FIND(",TPE:",H307)-3,3)),"- ",""),Index!D:E,2,FALSE)</f>
        <v>Wide Receiver</v>
      </c>
      <c r="E307" t="str">
        <f>MID(H307,FIND("(",H307)+1,FIND(")",H307)-FIND("(",H307)-1)</f>
        <v>S14</v>
      </c>
      <c r="F307" t="s">
        <v>382</v>
      </c>
      <c r="G307">
        <f t="shared" si="14"/>
        <v>57</v>
      </c>
      <c r="H307" t="s">
        <v>62</v>
      </c>
    </row>
    <row r="308" spans="1:8" x14ac:dyDescent="0.25">
      <c r="A308">
        <f t="shared" si="12"/>
        <v>1</v>
      </c>
      <c r="B308">
        <f t="shared" si="13"/>
        <v>11652</v>
      </c>
      <c r="C308" t="str">
        <f>[1]!RegExpSubstitute(MID(H308,FIND("- ",H308)+2,FIND("- ",H308,FIND("- ",H308)+1)-FIND("- ",H308)-2),"\&amp;quot\;.*\&amp;quot\;\W","")</f>
        <v xml:space="preserve">Stephen Harris Jr </v>
      </c>
      <c r="D308" t="str">
        <f>VLOOKUP(SUBSTITUTE(TRIM(MID(H308,FIND(",TPE:",H308)-3,3)),"- ",""),Index!D:E,2,FALSE)</f>
        <v>Kicker</v>
      </c>
      <c r="E308" t="str">
        <f>MID(H308,FIND("(",H308)+1,FIND(")",H308)-FIND("(",H308)-1)</f>
        <v>S14</v>
      </c>
      <c r="F308" t="s">
        <v>382</v>
      </c>
      <c r="G308">
        <f t="shared" si="14"/>
        <v>131</v>
      </c>
      <c r="H308" t="s">
        <v>63</v>
      </c>
    </row>
    <row r="309" spans="1:8" x14ac:dyDescent="0.25">
      <c r="A309">
        <f t="shared" si="12"/>
        <v>1</v>
      </c>
      <c r="B309">
        <f t="shared" si="13"/>
        <v>11597</v>
      </c>
      <c r="C309" t="str">
        <f>[1]!RegExpSubstitute(MID(H309,FIND("- ",H309)+2,FIND("- ",H309,FIND("- ",H309)+1)-FIND("- ",H309)-2),"\&amp;quot\;.*\&amp;quot\;\W","")</f>
        <v xml:space="preserve">Corvo Havran </v>
      </c>
      <c r="D309" t="str">
        <f>VLOOKUP(SUBSTITUTE(TRIM(MID(H309,FIND(",TPE:",H309)-3,3)),"- ",""),Index!D:E,2,FALSE)</f>
        <v>Quarterback</v>
      </c>
      <c r="E309" t="str">
        <f>MID(H309,FIND("(",H309)+1,FIND(")",H309)-FIND("(",H309)-1)</f>
        <v>S14</v>
      </c>
      <c r="F309" t="s">
        <v>382</v>
      </c>
      <c r="G309">
        <f t="shared" si="14"/>
        <v>328</v>
      </c>
      <c r="H309" t="s">
        <v>337</v>
      </c>
    </row>
    <row r="310" spans="1:8" x14ac:dyDescent="0.25">
      <c r="A310">
        <f t="shared" si="12"/>
        <v>1</v>
      </c>
      <c r="B310">
        <f t="shared" si="13"/>
        <v>11500</v>
      </c>
      <c r="C310" t="str">
        <f>[1]!RegExpSubstitute(MID(H310,FIND("- ",H310)+2,FIND("- ",H310,FIND("- ",H310)+1)-FIND("- ",H310)-2),"\&amp;quot\;.*\&amp;quot\;\W","")</f>
        <v xml:space="preserve">Kyle Frost </v>
      </c>
      <c r="D310" t="str">
        <f>VLOOKUP(SUBSTITUTE(TRIM(MID(H310,FIND(",TPE:",H310)-3,3)),"- ",""),Index!D:E,2,FALSE)</f>
        <v>Kicker</v>
      </c>
      <c r="E310" t="str">
        <f>MID(H310,FIND("(",H310)+1,FIND(")",H310)-FIND("(",H310)-1)</f>
        <v>S13</v>
      </c>
      <c r="F310" t="s">
        <v>382</v>
      </c>
      <c r="G310">
        <f t="shared" si="14"/>
        <v>74</v>
      </c>
      <c r="H310" t="s">
        <v>64</v>
      </c>
    </row>
    <row r="311" spans="1:8" x14ac:dyDescent="0.25">
      <c r="A311">
        <f t="shared" si="12"/>
        <v>1</v>
      </c>
      <c r="B311">
        <f t="shared" si="13"/>
        <v>11150</v>
      </c>
      <c r="C311" t="str">
        <f>[1]!RegExpSubstitute(MID(H311,FIND("- ",H311)+2,FIND("- ",H311,FIND("- ",H311)+1)-FIND("- ",H311)-2),"\&amp;quot\;.*\&amp;quot\;\W","")</f>
        <v xml:space="preserve">Dick Cheese Jr. </v>
      </c>
      <c r="D311" t="str">
        <f>VLOOKUP(SUBSTITUTE(TRIM(MID(H311,FIND(",TPE:",H311)-3,3)),"- ",""),Index!D:E,2,FALSE)</f>
        <v>Linebacker</v>
      </c>
      <c r="E311" t="str">
        <f>MID(H311,FIND("(",H311)+1,FIND(")",H311)-FIND("(",H311)-1)</f>
        <v>S13</v>
      </c>
      <c r="F311" t="s">
        <v>382</v>
      </c>
      <c r="G311">
        <f t="shared" si="14"/>
        <v>99</v>
      </c>
      <c r="H311" t="s">
        <v>65</v>
      </c>
    </row>
    <row r="312" spans="1:8" x14ac:dyDescent="0.25">
      <c r="A312">
        <f t="shared" si="12"/>
        <v>1</v>
      </c>
      <c r="B312">
        <f t="shared" si="13"/>
        <v>10787</v>
      </c>
      <c r="C312" t="str">
        <f>[1]!RegExpSubstitute(MID(H312,FIND("- ",H312)+2,FIND("- ",H312,FIND("- ",H312)+1)-FIND("- ",H312)-2),"\&amp;quot\;.*\&amp;quot\;\W","")</f>
        <v xml:space="preserve">CJ Henderson </v>
      </c>
      <c r="D312" t="str">
        <f>VLOOKUP(SUBSTITUTE(TRIM(MID(H312,FIND(",TPE:",H312)-3,3)),"- ",""),Index!D:E,2,FALSE)</f>
        <v>Cornerback</v>
      </c>
      <c r="E312" t="str">
        <f>MID(H312,FIND("(",H312)+1,FIND(")",H312)-FIND("(",H312)-1)</f>
        <v>S12</v>
      </c>
      <c r="F312" t="s">
        <v>382</v>
      </c>
      <c r="G312">
        <f t="shared" si="14"/>
        <v>81</v>
      </c>
      <c r="H312" t="s">
        <v>66</v>
      </c>
    </row>
    <row r="313" spans="1:8" x14ac:dyDescent="0.25">
      <c r="A313">
        <f t="shared" si="12"/>
        <v>1</v>
      </c>
      <c r="B313">
        <f t="shared" si="13"/>
        <v>10632</v>
      </c>
      <c r="C313" t="str">
        <f>[1]!RegExpSubstitute(MID(H313,FIND("- ",H313)+2,FIND("- ",H313,FIND("- ",H313)+1)-FIND("- ",H313)-2),"\&amp;quot\;.*\&amp;quot\;\W","")</f>
        <v xml:space="preserve">Daniel Amon </v>
      </c>
      <c r="D313" t="str">
        <f>VLOOKUP(SUBSTITUTE(TRIM(MID(H313,FIND(",TPE:",H313)-3,3)),"- ",""),Index!D:E,2,FALSE)</f>
        <v>Quarterback</v>
      </c>
      <c r="E313" t="str">
        <f>MID(H313,FIND("(",H313)+1,FIND(")",H313)-FIND("(",H313)-1)</f>
        <v>S12</v>
      </c>
      <c r="F313" t="s">
        <v>382</v>
      </c>
      <c r="G313">
        <f t="shared" si="14"/>
        <v>61</v>
      </c>
      <c r="H313" t="s">
        <v>67</v>
      </c>
    </row>
    <row r="314" spans="1:8" x14ac:dyDescent="0.25">
      <c r="A314">
        <f t="shared" si="12"/>
        <v>1</v>
      </c>
      <c r="B314">
        <f t="shared" si="13"/>
        <v>10617</v>
      </c>
      <c r="C314" t="str">
        <f>[1]!RegExpSubstitute(MID(H314,FIND("- ",H314)+2,FIND("- ",H314,FIND("- ",H314)+1)-FIND("- ",H314)-2),"\&amp;quot\;.*\&amp;quot\;\W","")</f>
        <v xml:space="preserve">Thomas Nova </v>
      </c>
      <c r="D314" t="str">
        <f>VLOOKUP(SUBSTITUTE(TRIM(MID(H314,FIND(",TPE:",H314)-3,3)),"- ",""),Index!D:E,2,FALSE)</f>
        <v>Wide Receiver</v>
      </c>
      <c r="E314" t="str">
        <f>MID(H314,FIND("(",H314)+1,FIND(")",H314)-FIND("(",H314)-1)</f>
        <v>S12</v>
      </c>
      <c r="F314" t="s">
        <v>382</v>
      </c>
      <c r="G314">
        <f t="shared" si="14"/>
        <v>50</v>
      </c>
      <c r="H314" t="s">
        <v>68</v>
      </c>
    </row>
    <row r="315" spans="1:8" x14ac:dyDescent="0.25">
      <c r="A315">
        <f t="shared" si="12"/>
        <v>1</v>
      </c>
      <c r="B315">
        <f t="shared" si="13"/>
        <v>10182</v>
      </c>
      <c r="C315" t="str">
        <f>[1]!RegExpSubstitute(MID(H315,FIND("- ",H315)+2,FIND("- ",H315,FIND("- ",H315)+1)-FIND("- ",H315)-2),"\&amp;quot\;.*\&amp;quot\;\W","")</f>
        <v xml:space="preserve">Zoro Roronoa </v>
      </c>
      <c r="D315" t="str">
        <f>VLOOKUP(SUBSTITUTE(TRIM(MID(H315,FIND(",TPE:",H315)-3,3)),"- ",""),Index!D:E,2,FALSE)</f>
        <v>Runningback</v>
      </c>
      <c r="E315" t="str">
        <f>MID(H315,FIND("(",H315)+1,FIND(")",H315)-FIND("(",H315)-1)</f>
        <v>S11</v>
      </c>
      <c r="F315" t="s">
        <v>382</v>
      </c>
      <c r="G315">
        <f t="shared" si="14"/>
        <v>168</v>
      </c>
      <c r="H315" t="s">
        <v>70</v>
      </c>
    </row>
    <row r="316" spans="1:8" x14ac:dyDescent="0.25">
      <c r="A316">
        <f t="shared" si="12"/>
        <v>1</v>
      </c>
      <c r="B316">
        <f t="shared" si="13"/>
        <v>10072</v>
      </c>
      <c r="C316" t="str">
        <f>[1]!RegExpSubstitute(MID(H316,FIND("- ",H316)+2,FIND("- ",H316,FIND("- ",H316)+1)-FIND("- ",H316)-2),"\&amp;quot\;.*\&amp;quot\;\W","")</f>
        <v xml:space="preserve">Berrell Trister </v>
      </c>
      <c r="D316" t="str">
        <f>VLOOKUP(SUBSTITUTE(TRIM(MID(H316,FIND(",TPE:",H316)-3,3)),"- ",""),Index!D:E,2,FALSE)</f>
        <v>Wide Receiver</v>
      </c>
      <c r="E316" t="str">
        <f>MID(H316,FIND("(",H316)+1,FIND(")",H316)-FIND("(",H316)-1)</f>
        <v>S11</v>
      </c>
      <c r="F316" t="s">
        <v>382</v>
      </c>
      <c r="G316">
        <f t="shared" si="14"/>
        <v>67</v>
      </c>
      <c r="H316" t="s">
        <v>71</v>
      </c>
    </row>
    <row r="317" spans="1:8" x14ac:dyDescent="0.25">
      <c r="A317">
        <f t="shared" si="12"/>
        <v>1</v>
      </c>
      <c r="B317">
        <f t="shared" si="13"/>
        <v>12676</v>
      </c>
      <c r="C317" t="str">
        <f>[1]!RegExpSubstitute(MID(H317,FIND("- ",H317)+2,FIND("- ",H317,FIND("- ",H317)+1)-FIND("- ",H317)-2),"\&amp;quot\;.*\&amp;quot\;\W","")</f>
        <v xml:space="preserve">Deon Taylor </v>
      </c>
      <c r="D317" t="str">
        <f>VLOOKUP(SUBSTITUTE(TRIM(MID(H317,FIND(",TPE:",H317)-3,3)),"- ",""),Index!D:E,2,FALSE)</f>
        <v>Cornerback</v>
      </c>
      <c r="E317" t="str">
        <f>MID(H317,FIND("(",H317)+1,FIND(")",H317)-FIND("(",H317)-1)</f>
        <v>S15</v>
      </c>
      <c r="F317" t="s">
        <v>383</v>
      </c>
      <c r="G317">
        <f t="shared" si="14"/>
        <v>72</v>
      </c>
      <c r="H317" t="s">
        <v>338</v>
      </c>
    </row>
    <row r="318" spans="1:8" x14ac:dyDescent="0.25">
      <c r="A318">
        <f t="shared" si="12"/>
        <v>1</v>
      </c>
      <c r="B318">
        <f t="shared" si="13"/>
        <v>12395</v>
      </c>
      <c r="C318" t="str">
        <f>[1]!RegExpSubstitute(MID(H318,FIND("- ",H318)+2,FIND("- ",H318,FIND("- ",H318)+1)-FIND("- ",H318)-2),"\&amp;quot\;.*\&amp;quot\;\W","")</f>
        <v xml:space="preserve">Michael Rood </v>
      </c>
      <c r="D318" t="str">
        <f>VLOOKUP(SUBSTITUTE(TRIM(MID(H318,FIND(",TPE:",H318)-3,3)),"- ",""),Index!D:E,2,FALSE)</f>
        <v>Tight End</v>
      </c>
      <c r="E318" t="str">
        <f>MID(H318,FIND("(",H318)+1,FIND(")",H318)-FIND("(",H318)-1)</f>
        <v>S15</v>
      </c>
      <c r="F318" t="s">
        <v>383</v>
      </c>
      <c r="G318">
        <f t="shared" si="14"/>
        <v>97</v>
      </c>
      <c r="H318" t="s">
        <v>339</v>
      </c>
    </row>
    <row r="319" spans="1:8" x14ac:dyDescent="0.25">
      <c r="A319">
        <f t="shared" si="12"/>
        <v>1</v>
      </c>
      <c r="B319">
        <f t="shared" si="13"/>
        <v>12396</v>
      </c>
      <c r="C319" t="str">
        <f>[1]!RegExpSubstitute(MID(H319,FIND("- ",H319)+2,FIND("- ",H319,FIND("- ",H319)+1)-FIND("- ",H319)-2),"\&amp;quot\;.*\&amp;quot\;\W","")</f>
        <v xml:space="preserve">Apollo Lange </v>
      </c>
      <c r="D319" t="str">
        <f>VLOOKUP(SUBSTITUTE(TRIM(MID(H319,FIND(",TPE:",H319)-3,3)),"- ",""),Index!D:E,2,FALSE)</f>
        <v>Quarterback</v>
      </c>
      <c r="E319" t="str">
        <f>MID(H319,FIND("(",H319)+1,FIND(")",H319)-FIND("(",H319)-1)</f>
        <v>S15</v>
      </c>
      <c r="F319" t="s">
        <v>383</v>
      </c>
      <c r="G319">
        <f t="shared" si="14"/>
        <v>94</v>
      </c>
      <c r="H319" t="s">
        <v>340</v>
      </c>
    </row>
    <row r="320" spans="1:8" x14ac:dyDescent="0.25">
      <c r="A320">
        <f t="shared" si="12"/>
        <v>1</v>
      </c>
      <c r="B320">
        <f t="shared" si="13"/>
        <v>12417</v>
      </c>
      <c r="C320" t="str">
        <f>[1]!RegExpSubstitute(MID(H320,FIND("- ",H320)+2,FIND("- ",H320,FIND("- ",H320)+1)-FIND("- ",H320)-2),"\&amp;quot\;.*\&amp;quot\;\W","")</f>
        <v xml:space="preserve">Jameis Harrison </v>
      </c>
      <c r="D320" t="str">
        <f>VLOOKUP(SUBSTITUTE(TRIM(MID(H320,FIND(",TPE:",H320)-3,3)),"- ",""),Index!D:E,2,FALSE)</f>
        <v>Linebacker</v>
      </c>
      <c r="E320" t="str">
        <f>MID(H320,FIND("(",H320)+1,FIND(")",H320)-FIND("(",H320)-1)</f>
        <v>S15</v>
      </c>
      <c r="F320" t="s">
        <v>383</v>
      </c>
      <c r="G320">
        <f t="shared" si="14"/>
        <v>50</v>
      </c>
      <c r="H320" t="s">
        <v>28</v>
      </c>
    </row>
    <row r="321" spans="1:8" x14ac:dyDescent="0.25">
      <c r="A321">
        <f t="shared" si="12"/>
        <v>1</v>
      </c>
      <c r="B321">
        <f t="shared" si="13"/>
        <v>12318</v>
      </c>
      <c r="C321" t="str">
        <f>[1]!RegExpSubstitute(MID(H321,FIND("- ",H321)+2,FIND("- ",H321,FIND("- ",H321)+1)-FIND("- ",H321)-2),"\&amp;quot\;.*\&amp;quot\;\W","")</f>
        <v xml:space="preserve">Rock Hardshaft </v>
      </c>
      <c r="D321" t="str">
        <f>VLOOKUP(SUBSTITUTE(TRIM(MID(H321,FIND(",TPE:",H321)-3,3)),"- ",""),Index!D:E,2,FALSE)</f>
        <v>Linebacker</v>
      </c>
      <c r="E321" t="str">
        <f>MID(H321,FIND("(",H321)+1,FIND(")",H321)-FIND("(",H321)-1)</f>
        <v>S15</v>
      </c>
      <c r="F321" t="s">
        <v>383</v>
      </c>
      <c r="G321">
        <f t="shared" si="14"/>
        <v>108</v>
      </c>
      <c r="H321" t="s">
        <v>341</v>
      </c>
    </row>
    <row r="322" spans="1:8" x14ac:dyDescent="0.25">
      <c r="A322">
        <f t="shared" ref="A322:A364" si="15">COUNTIF($B$2:$B$375,B322)</f>
        <v>1</v>
      </c>
      <c r="B322">
        <f t="shared" si="13"/>
        <v>12282</v>
      </c>
      <c r="C322" t="str">
        <f>[1]!RegExpSubstitute(MID(H322,FIND("- ",H322)+2,FIND("- ",H322,FIND("- ",H322)+1)-FIND("- ",H322)-2),"\&amp;quot\;.*\&amp;quot\;\W","")</f>
        <v xml:space="preserve">Quentin Sinclair </v>
      </c>
      <c r="D322" t="str">
        <f>VLOOKUP(SUBSTITUTE(TRIM(MID(H322,FIND(",TPE:",H322)-3,3)),"- ",""),Index!D:E,2,FALSE)</f>
        <v>Safety</v>
      </c>
      <c r="E322" t="str">
        <f>MID(H322,FIND("(",H322)+1,FIND(")",H322)-FIND("(",H322)-1)</f>
        <v>S15</v>
      </c>
      <c r="F322" t="s">
        <v>383</v>
      </c>
      <c r="G322">
        <f t="shared" si="14"/>
        <v>89</v>
      </c>
      <c r="H322" t="s">
        <v>342</v>
      </c>
    </row>
    <row r="323" spans="1:8" x14ac:dyDescent="0.25">
      <c r="A323">
        <f t="shared" si="15"/>
        <v>1</v>
      </c>
      <c r="B323">
        <f t="shared" ref="B323:B364" si="16">[1]!Numerize(MID(H323,FIND("=",H323),10))+0</f>
        <v>12281</v>
      </c>
      <c r="C323" t="str">
        <f>[1]!RegExpSubstitute(MID(H323,FIND("- ",H323)+2,FIND("- ",H323,FIND("- ",H323)+1)-FIND("- ",H323)-2),"\&amp;quot\;.*\&amp;quot\;\W","")</f>
        <v xml:space="preserve">Ludicolo Bigby </v>
      </c>
      <c r="D323" t="str">
        <f>VLOOKUP(SUBSTITUTE(TRIM(MID(H323,FIND(",TPE:",H323)-3,3)),"- ",""),Index!D:E,2,FALSE)</f>
        <v>Runningback</v>
      </c>
      <c r="E323" t="str">
        <f>MID(H323,FIND("(",H323)+1,FIND(")",H323)-FIND("(",H323)-1)</f>
        <v>S15</v>
      </c>
      <c r="F323" t="s">
        <v>383</v>
      </c>
      <c r="G323">
        <f t="shared" ref="G323:G364" si="17">MID(H323,FIND("TPE: ",H323)+5,FIND(", ",H323,FIND("TPE: ",H323))-FIND("TPE: ",H323)-5)+0</f>
        <v>89</v>
      </c>
      <c r="H323" t="s">
        <v>343</v>
      </c>
    </row>
    <row r="324" spans="1:8" x14ac:dyDescent="0.25">
      <c r="A324">
        <f t="shared" si="15"/>
        <v>1</v>
      </c>
      <c r="B324">
        <f t="shared" si="16"/>
        <v>12275</v>
      </c>
      <c r="C324" t="str">
        <f>[1]!RegExpSubstitute(MID(H324,FIND("- ",H324)+2,FIND("- ",H324,FIND("- ",H324)+1)-FIND("- ",H324)-2),"\&amp;quot\;.*\&amp;quot\;\W","")</f>
        <v xml:space="preserve">Khalil Sack </v>
      </c>
      <c r="D324" t="str">
        <f>VLOOKUP(SUBSTITUTE(TRIM(MID(H324,FIND(",TPE:",H324)-3,3)),"- ",""),Index!D:E,2,FALSE)</f>
        <v>Defensive Line</v>
      </c>
      <c r="E324" t="str">
        <f>MID(H324,FIND("(",H324)+1,FIND(")",H324)-FIND("(",H324)-1)</f>
        <v>S15</v>
      </c>
      <c r="F324" t="s">
        <v>383</v>
      </c>
      <c r="G324">
        <f t="shared" si="17"/>
        <v>50</v>
      </c>
      <c r="H324" t="s">
        <v>29</v>
      </c>
    </row>
    <row r="325" spans="1:8" x14ac:dyDescent="0.25">
      <c r="A325">
        <f t="shared" si="15"/>
        <v>1</v>
      </c>
      <c r="B325">
        <f t="shared" si="16"/>
        <v>12257</v>
      </c>
      <c r="C325" t="str">
        <f>[1]!RegExpSubstitute(MID(H325,FIND("- ",H325)+2,FIND("- ",H325,FIND("- ",H325)+1)-FIND("- ",H325)-2),"\&amp;quot\;.*\&amp;quot\;\W","")</f>
        <v xml:space="preserve">Thad Castle </v>
      </c>
      <c r="D325" t="str">
        <f>VLOOKUP(SUBSTITUTE(TRIM(MID(H325,FIND(",TPE:",H325)-3,3)),"- ",""),Index!D:E,2,FALSE)</f>
        <v>Linebacker</v>
      </c>
      <c r="E325" t="str">
        <f>MID(H325,FIND("(",H325)+1,FIND(")",H325)-FIND("(",H325)-1)</f>
        <v>S15</v>
      </c>
      <c r="F325" t="s">
        <v>383</v>
      </c>
      <c r="G325">
        <f t="shared" si="17"/>
        <v>50</v>
      </c>
      <c r="H325" t="s">
        <v>30</v>
      </c>
    </row>
    <row r="326" spans="1:8" x14ac:dyDescent="0.25">
      <c r="A326">
        <f t="shared" si="15"/>
        <v>1</v>
      </c>
      <c r="B326">
        <f t="shared" si="16"/>
        <v>12249</v>
      </c>
      <c r="C326" t="str">
        <f>[1]!RegExpSubstitute(MID(H326,FIND("- ",H326)+2,FIND("- ",H326,FIND("- ",H326)+1)-FIND("- ",H326)-2),"\&amp;quot\;.*\&amp;quot\;\W","")</f>
        <v xml:space="preserve">Ben Bortboy </v>
      </c>
      <c r="D326" t="str">
        <f>VLOOKUP(SUBSTITUTE(TRIM(MID(H326,FIND(",TPE:",H326)-3,3)),"- ",""),Index!D:E,2,FALSE)</f>
        <v>Runningback</v>
      </c>
      <c r="E326" t="str">
        <f>MID(H326,FIND("(",H326)+1,FIND(")",H326)-FIND("(",H326)-1)</f>
        <v>S15</v>
      </c>
      <c r="F326" t="s">
        <v>383</v>
      </c>
      <c r="G326">
        <f t="shared" si="17"/>
        <v>121</v>
      </c>
      <c r="H326" t="s">
        <v>344</v>
      </c>
    </row>
    <row r="327" spans="1:8" x14ac:dyDescent="0.25">
      <c r="A327">
        <f t="shared" si="15"/>
        <v>1</v>
      </c>
      <c r="B327">
        <f t="shared" si="16"/>
        <v>12224</v>
      </c>
      <c r="C327" t="str">
        <f>[1]!RegExpSubstitute(MID(H327,FIND("- ",H327)+2,FIND("- ",H327,FIND("- ",H327)+1)-FIND("- ",H327)-2),"\&amp;quot\;.*\&amp;quot\;\W","")</f>
        <v xml:space="preserve">Dan Wright </v>
      </c>
      <c r="D327" t="str">
        <f>VLOOKUP(SUBSTITUTE(TRIM(MID(H327,FIND(",TPE:",H327)-3,3)),"- ",""),Index!D:E,2,FALSE)</f>
        <v>Tight End</v>
      </c>
      <c r="E327" t="str">
        <f>MID(H327,FIND("(",H327)+1,FIND(")",H327)-FIND("(",H327)-1)</f>
        <v>S15</v>
      </c>
      <c r="F327" t="s">
        <v>383</v>
      </c>
      <c r="G327">
        <f t="shared" si="17"/>
        <v>94</v>
      </c>
      <c r="H327" t="s">
        <v>345</v>
      </c>
    </row>
    <row r="328" spans="1:8" x14ac:dyDescent="0.25">
      <c r="A328">
        <f t="shared" si="15"/>
        <v>1</v>
      </c>
      <c r="B328">
        <f t="shared" si="16"/>
        <v>12194</v>
      </c>
      <c r="C328" t="str">
        <f>[1]!RegExpSubstitute(MID(H328,FIND("- ",H328)+2,FIND("- ",H328,FIND("- ",H328)+1)-FIND("- ",H328)-2),"\&amp;quot\;.*\&amp;quot\;\W","")</f>
        <v xml:space="preserve">Fatih Terim </v>
      </c>
      <c r="D328" t="str">
        <f>VLOOKUP(SUBSTITUTE(TRIM(MID(H328,FIND(",TPE:",H328)-3,3)),"- ",""),Index!D:E,2,FALSE)</f>
        <v>Safety</v>
      </c>
      <c r="E328" t="str">
        <f>MID(H328,FIND("(",H328)+1,FIND(")",H328)-FIND("(",H328)-1)</f>
        <v>S15</v>
      </c>
      <c r="F328" t="s">
        <v>383</v>
      </c>
      <c r="G328">
        <f t="shared" si="17"/>
        <v>122</v>
      </c>
      <c r="H328" t="s">
        <v>346</v>
      </c>
    </row>
    <row r="329" spans="1:8" x14ac:dyDescent="0.25">
      <c r="A329">
        <f t="shared" si="15"/>
        <v>1</v>
      </c>
      <c r="B329">
        <f t="shared" si="16"/>
        <v>12173</v>
      </c>
      <c r="C329" t="str">
        <f>[1]!RegExpSubstitute(MID(H329,FIND("- ",H329)+2,FIND("- ",H329,FIND("- ",H329)+1)-FIND("- ",H329)-2),"\&amp;quot\;.*\&amp;quot\;\W","")</f>
        <v xml:space="preserve">Nacho Varga </v>
      </c>
      <c r="D329" t="str">
        <f>VLOOKUP(SUBSTITUTE(TRIM(MID(H329,FIND(",TPE:",H329)-3,3)),"- ",""),Index!D:E,2,FALSE)</f>
        <v>Wide Receiver</v>
      </c>
      <c r="E329" t="str">
        <f>MID(H329,FIND("(",H329)+1,FIND(")",H329)-FIND("(",H329)-1)</f>
        <v>S15</v>
      </c>
      <c r="F329" t="s">
        <v>383</v>
      </c>
      <c r="G329">
        <f t="shared" si="17"/>
        <v>121</v>
      </c>
      <c r="H329" t="s">
        <v>347</v>
      </c>
    </row>
    <row r="330" spans="1:8" x14ac:dyDescent="0.25">
      <c r="A330">
        <f t="shared" si="15"/>
        <v>1</v>
      </c>
      <c r="B330">
        <f t="shared" si="16"/>
        <v>12140</v>
      </c>
      <c r="C330" t="str">
        <f>[1]!RegExpSubstitute(MID(H330,FIND("- ",H330)+2,FIND("- ",H330,FIND("- ",H330)+1)-FIND("- ",H330)-2),"\&amp;quot\;.*\&amp;quot\;\W","")</f>
        <v xml:space="preserve">Gimmy Jaroppolo </v>
      </c>
      <c r="D330" t="str">
        <f>VLOOKUP(SUBSTITUTE(TRIM(MID(H330,FIND(",TPE:",H330)-3,3)),"- ",""),Index!D:E,2,FALSE)</f>
        <v>Quarterback</v>
      </c>
      <c r="E330" t="str">
        <f>MID(H330,FIND("(",H330)+1,FIND(")",H330)-FIND("(",H330)-1)</f>
        <v>S15</v>
      </c>
      <c r="F330" t="s">
        <v>383</v>
      </c>
      <c r="G330">
        <f t="shared" si="17"/>
        <v>50</v>
      </c>
      <c r="H330" t="s">
        <v>31</v>
      </c>
    </row>
    <row r="331" spans="1:8" x14ac:dyDescent="0.25">
      <c r="A331">
        <f t="shared" si="15"/>
        <v>1</v>
      </c>
      <c r="B331">
        <f t="shared" si="16"/>
        <v>12163</v>
      </c>
      <c r="C331" t="str">
        <f>[1]!RegExpSubstitute(MID(H331,FIND("- ",H331)+2,FIND("- ",H331,FIND("- ",H331)+1)-FIND("- ",H331)-2),"\&amp;quot\;.*\&amp;quot\;\W","")</f>
        <v xml:space="preserve">Guy Nikko </v>
      </c>
      <c r="D331" t="str">
        <f>VLOOKUP(SUBSTITUTE(TRIM(MID(H331,FIND(",TPE:",H331)-3,3)),"- ",""),Index!D:E,2,FALSE)</f>
        <v>Linebacker</v>
      </c>
      <c r="E331" t="str">
        <f>MID(H331,FIND("(",H331)+1,FIND(")",H331)-FIND("(",H331)-1)</f>
        <v>S15</v>
      </c>
      <c r="F331" t="s">
        <v>383</v>
      </c>
      <c r="G331">
        <f t="shared" si="17"/>
        <v>133</v>
      </c>
      <c r="H331" t="s">
        <v>348</v>
      </c>
    </row>
    <row r="332" spans="1:8" x14ac:dyDescent="0.25">
      <c r="A332">
        <f t="shared" si="15"/>
        <v>1</v>
      </c>
      <c r="B332">
        <f t="shared" si="16"/>
        <v>12102</v>
      </c>
      <c r="C332" t="str">
        <f>[1]!RegExpSubstitute(MID(H332,FIND("- ",H332)+2,FIND("- ",H332,FIND("- ",H332)+1)-FIND("- ",H332)-2),"\&amp;quot\;.*\&amp;quot\;\W","")</f>
        <v xml:space="preserve">Tony Gabagool </v>
      </c>
      <c r="D332" t="str">
        <f>VLOOKUP(SUBSTITUTE(TRIM(MID(H332,FIND(",TPE:",H332)-3,3)),"- ",""),Index!D:E,2,FALSE)</f>
        <v>Linebacker</v>
      </c>
      <c r="E332" t="str">
        <f>MID(H332,FIND("(",H332)+1,FIND(")",H332)-FIND("(",H332)-1)</f>
        <v>S15</v>
      </c>
      <c r="F332" t="s">
        <v>383</v>
      </c>
      <c r="G332">
        <f t="shared" si="17"/>
        <v>126</v>
      </c>
      <c r="H332" t="s">
        <v>349</v>
      </c>
    </row>
    <row r="333" spans="1:8" x14ac:dyDescent="0.25">
      <c r="A333">
        <f t="shared" si="15"/>
        <v>1</v>
      </c>
      <c r="B333">
        <f t="shared" si="16"/>
        <v>12095</v>
      </c>
      <c r="C333" t="str">
        <f>[1]!RegExpSubstitute(MID(H333,FIND("- ",H333)+2,FIND("- ",H333,FIND("- ",H333)+1)-FIND("- ",H333)-2),"\&amp;quot\;.*\&amp;quot\;\W","")</f>
        <v xml:space="preserve">Lamont McKinnie </v>
      </c>
      <c r="D333" t="str">
        <f>VLOOKUP(SUBSTITUTE(TRIM(MID(H333,FIND(",TPE:",H333)-3,3)),"- ",""),Index!D:E,2,FALSE)</f>
        <v>Safety</v>
      </c>
      <c r="E333" t="str">
        <f>MID(H333,FIND("(",H333)+1,FIND(")",H333)-FIND("(",H333)-1)</f>
        <v>S15</v>
      </c>
      <c r="F333" t="s">
        <v>383</v>
      </c>
      <c r="G333">
        <f t="shared" si="17"/>
        <v>121</v>
      </c>
      <c r="H333" t="s">
        <v>350</v>
      </c>
    </row>
    <row r="334" spans="1:8" x14ac:dyDescent="0.25">
      <c r="A334">
        <f t="shared" si="15"/>
        <v>1</v>
      </c>
      <c r="B334">
        <f t="shared" si="16"/>
        <v>12083</v>
      </c>
      <c r="C334" t="str">
        <f>[1]!RegExpSubstitute(MID(H334,FIND("- ",H334)+2,FIND("- ",H334,FIND("- ",H334)+1)-FIND("- ",H334)-2),"\&amp;quot\;.*\&amp;quot\;\W","")</f>
        <v xml:space="preserve">Rahm Kota </v>
      </c>
      <c r="D334" t="str">
        <f>VLOOKUP(SUBSTITUTE(TRIM(MID(H334,FIND(",TPE:",H334)-3,3)),"- ",""),Index!D:E,2,FALSE)</f>
        <v>Offensive Line</v>
      </c>
      <c r="E334" t="str">
        <f>MID(H334,FIND("(",H334)+1,FIND(")",H334)-FIND("(",H334)-1)</f>
        <v>S15</v>
      </c>
      <c r="F334" t="s">
        <v>383</v>
      </c>
      <c r="G334">
        <f t="shared" si="17"/>
        <v>96</v>
      </c>
      <c r="H334" t="s">
        <v>351</v>
      </c>
    </row>
    <row r="335" spans="1:8" x14ac:dyDescent="0.25">
      <c r="A335">
        <f t="shared" si="15"/>
        <v>1</v>
      </c>
      <c r="B335">
        <f t="shared" si="16"/>
        <v>12017</v>
      </c>
      <c r="C335" t="str">
        <f>[1]!RegExpSubstitute(MID(H335,FIND("- ",H335)+2,FIND("- ",H335,FIND("- ",H335)+1)-FIND("- ",H335)-2),"\&amp;quot\;.*\&amp;quot\;\W","")</f>
        <v xml:space="preserve">Chase Jensen </v>
      </c>
      <c r="D335" t="str">
        <f>VLOOKUP(SUBSTITUTE(TRIM(MID(H335,FIND(",TPE:",H335)-3,3)),"- ",""),Index!D:E,2,FALSE)</f>
        <v>Tight End</v>
      </c>
      <c r="E335" t="str">
        <f>MID(H335,FIND("(",H335)+1,FIND(")",H335)-FIND("(",H335)-1)</f>
        <v>S15</v>
      </c>
      <c r="F335" t="s">
        <v>383</v>
      </c>
      <c r="G335">
        <f t="shared" si="17"/>
        <v>175</v>
      </c>
      <c r="H335" t="s">
        <v>352</v>
      </c>
    </row>
    <row r="336" spans="1:8" x14ac:dyDescent="0.25">
      <c r="A336">
        <f t="shared" si="15"/>
        <v>1</v>
      </c>
      <c r="B336">
        <f t="shared" si="16"/>
        <v>11988</v>
      </c>
      <c r="C336" t="str">
        <f>[1]!RegExpSubstitute(MID(H336,FIND("- ",H336)+2,FIND("- ",H336,FIND("- ",H336)+1)-FIND("- ",H336)-2),"\&amp;quot\;.*\&amp;quot\;\W","")</f>
        <v xml:space="preserve">André Thornton </v>
      </c>
      <c r="D336" t="str">
        <f>VLOOKUP(SUBSTITUTE(TRIM(MID(H336,FIND(",TPE:",H336)-3,3)),"- ",""),Index!D:E,2,FALSE)</f>
        <v>Wide Receiver</v>
      </c>
      <c r="E336" t="str">
        <f>MID(H336,FIND("(",H336)+1,FIND(")",H336)-FIND("(",H336)-1)</f>
        <v>S15</v>
      </c>
      <c r="F336" t="s">
        <v>383</v>
      </c>
      <c r="G336">
        <f t="shared" si="17"/>
        <v>50</v>
      </c>
      <c r="H336" t="s">
        <v>32</v>
      </c>
    </row>
    <row r="337" spans="1:8" x14ac:dyDescent="0.25">
      <c r="A337">
        <f t="shared" si="15"/>
        <v>1</v>
      </c>
      <c r="B337">
        <f t="shared" si="16"/>
        <v>12691</v>
      </c>
      <c r="C337" t="str">
        <f>[1]!RegExpSubstitute(MID(H337,FIND("- ",H337)+2,FIND("- ",H337,FIND("- ",H337)+1)-FIND("- ",H337)-2),"\&amp;quot\;.*\&amp;quot\;\W","")</f>
        <v xml:space="preserve">Apollo Reed </v>
      </c>
      <c r="D337" t="str">
        <f>VLOOKUP(SUBSTITUTE(TRIM(MID(H337,FIND(",TPE:",H337)-3,3)),"- ",""),Index!D:E,2,FALSE)</f>
        <v>Runningback</v>
      </c>
      <c r="E337" t="str">
        <f>MID(H337,FIND("(",H337)+1,FIND(")",H337)-FIND("(",H337)-1)</f>
        <v>S15</v>
      </c>
      <c r="F337" t="s">
        <v>384</v>
      </c>
      <c r="G337">
        <f t="shared" si="17"/>
        <v>100</v>
      </c>
      <c r="H337" t="s">
        <v>353</v>
      </c>
    </row>
    <row r="338" spans="1:8" x14ac:dyDescent="0.25">
      <c r="A338">
        <f t="shared" si="15"/>
        <v>1</v>
      </c>
      <c r="B338">
        <f t="shared" si="16"/>
        <v>12604</v>
      </c>
      <c r="C338" t="str">
        <f>[1]!RegExpSubstitute(MID(H338,FIND("- ",H338)+2,FIND("- ",H338,FIND("- ",H338)+1)-FIND("- ",H338)-2),"\&amp;quot\;.*\&amp;quot\;\W","")</f>
        <v xml:space="preserve">Eric Lorentz </v>
      </c>
      <c r="D338" t="str">
        <f>VLOOKUP(SUBSTITUTE(TRIM(MID(H338,FIND(",TPE:",H338)-3,3)),"- ",""),Index!D:E,2,FALSE)</f>
        <v>Linebacker</v>
      </c>
      <c r="E338" t="str">
        <f>MID(H338,FIND("(",H338)+1,FIND(")",H338)-FIND("(",H338)-1)</f>
        <v>S15</v>
      </c>
      <c r="F338" t="s">
        <v>384</v>
      </c>
      <c r="G338">
        <f t="shared" si="17"/>
        <v>55</v>
      </c>
      <c r="H338" t="s">
        <v>354</v>
      </c>
    </row>
    <row r="339" spans="1:8" x14ac:dyDescent="0.25">
      <c r="A339">
        <f t="shared" si="15"/>
        <v>1</v>
      </c>
      <c r="B339">
        <f t="shared" si="16"/>
        <v>12561</v>
      </c>
      <c r="C339" t="str">
        <f>[1]!RegExpSubstitute(MID(H339,FIND("- ",H339)+2,FIND("- ",H339,FIND("- ",H339)+1)-FIND("- ",H339)-2),"\&amp;quot\;.*\&amp;quot\;\W","")</f>
        <v xml:space="preserve">Cameron Clutch </v>
      </c>
      <c r="D339" t="str">
        <f>VLOOKUP(SUBSTITUTE(TRIM(MID(H339,FIND(",TPE:",H339)-3,3)),"- ",""),Index!D:E,2,FALSE)</f>
        <v>Kicker</v>
      </c>
      <c r="E339" t="str">
        <f>MID(H339,FIND("(",H339)+1,FIND(")",H339)-FIND("(",H339)-1)</f>
        <v>S15</v>
      </c>
      <c r="F339" t="s">
        <v>384</v>
      </c>
      <c r="G339">
        <f t="shared" si="17"/>
        <v>82</v>
      </c>
      <c r="H339" t="s">
        <v>355</v>
      </c>
    </row>
    <row r="340" spans="1:8" x14ac:dyDescent="0.25">
      <c r="A340">
        <f t="shared" si="15"/>
        <v>1</v>
      </c>
      <c r="B340">
        <f t="shared" si="16"/>
        <v>12526</v>
      </c>
      <c r="C340" t="str">
        <f>[1]!RegExpSubstitute(MID(H340,FIND("- ",H340)+2,FIND("- ",H340,FIND("- ",H340)+1)-FIND("- ",H340)-2),"\&amp;quot\;.*\&amp;quot\;\W","")</f>
        <v xml:space="preserve">John Tebow </v>
      </c>
      <c r="D340" t="str">
        <f>VLOOKUP(SUBSTITUTE(TRIM(MID(H340,FIND(",TPE:",H340)-3,3)),"- ",""),Index!D:E,2,FALSE)</f>
        <v>Quarterback</v>
      </c>
      <c r="E340" t="str">
        <f>MID(H340,FIND("(",H340)+1,FIND(")",H340)-FIND("(",H340)-1)</f>
        <v>S15</v>
      </c>
      <c r="F340" t="s">
        <v>384</v>
      </c>
      <c r="G340">
        <f t="shared" si="17"/>
        <v>50</v>
      </c>
      <c r="H340" t="s">
        <v>21</v>
      </c>
    </row>
    <row r="341" spans="1:8" x14ac:dyDescent="0.25">
      <c r="A341">
        <f t="shared" si="15"/>
        <v>1</v>
      </c>
      <c r="B341">
        <f t="shared" si="16"/>
        <v>12482</v>
      </c>
      <c r="C341" t="str">
        <f>[1]!RegExpSubstitute(MID(H341,FIND("- ",H341)+2,FIND("- ",H341,FIND("- ",H341)+1)-FIND("- ",H341)-2),"\&amp;quot\;.*\&amp;quot\;\W","")</f>
        <v xml:space="preserve">Jay Longshaw </v>
      </c>
      <c r="D341" t="str">
        <f>VLOOKUP(SUBSTITUTE(TRIM(MID(H341,FIND(",TPE:",H341)-3,3)),"- ",""),Index!D:E,2,FALSE)</f>
        <v>Quarterback</v>
      </c>
      <c r="E341" t="str">
        <f>MID(H341,FIND("(",H341)+1,FIND(")",H341)-FIND("(",H341)-1)</f>
        <v>S15</v>
      </c>
      <c r="F341" t="s">
        <v>384</v>
      </c>
      <c r="G341">
        <f t="shared" si="17"/>
        <v>121</v>
      </c>
      <c r="H341" t="s">
        <v>356</v>
      </c>
    </row>
    <row r="342" spans="1:8" x14ac:dyDescent="0.25">
      <c r="A342">
        <f t="shared" si="15"/>
        <v>1</v>
      </c>
      <c r="B342">
        <f t="shared" si="16"/>
        <v>12272</v>
      </c>
      <c r="C342" t="str">
        <f>[1]!RegExpSubstitute(MID(H342,FIND("- ",H342)+2,FIND("- ",H342,FIND("- ",H342)+1)-FIND("- ",H342)-2),"\&amp;quot\;.*\&amp;quot\;\W","")</f>
        <v xml:space="preserve">Charles Mudley </v>
      </c>
      <c r="D342" t="str">
        <f>VLOOKUP(SUBSTITUTE(TRIM(MID(H342,FIND(",TPE:",H342)-3,3)),"- ",""),Index!D:E,2,FALSE)</f>
        <v>Wide Receiver</v>
      </c>
      <c r="E342" t="str">
        <f>MID(H342,FIND("(",H342)+1,FIND(")",H342)-FIND("(",H342)-1)</f>
        <v>S15</v>
      </c>
      <c r="F342" t="s">
        <v>384</v>
      </c>
      <c r="G342">
        <f t="shared" si="17"/>
        <v>83</v>
      </c>
      <c r="H342" t="s">
        <v>357</v>
      </c>
    </row>
    <row r="343" spans="1:8" x14ac:dyDescent="0.25">
      <c r="A343">
        <f t="shared" si="15"/>
        <v>1</v>
      </c>
      <c r="B343">
        <f t="shared" si="16"/>
        <v>12332</v>
      </c>
      <c r="C343" t="str">
        <f>[1]!RegExpSubstitute(MID(H343,FIND("- ",H343)+2,FIND("- ",H343,FIND("- ",H343)+1)-FIND("- ",H343)-2),"\&amp;quot\;.*\&amp;quot\;\W","")</f>
        <v xml:space="preserve">Tobias Chase </v>
      </c>
      <c r="D343" t="str">
        <f>VLOOKUP(SUBSTITUTE(TRIM(MID(H343,FIND(",TPE:",H343)-3,3)),"- ",""),Index!D:E,2,FALSE)</f>
        <v>Cornerback</v>
      </c>
      <c r="E343" t="str">
        <f>MID(H343,FIND("(",H343)+1,FIND(")",H343)-FIND("(",H343)-1)</f>
        <v>S15</v>
      </c>
      <c r="F343" t="s">
        <v>384</v>
      </c>
      <c r="G343">
        <f t="shared" si="17"/>
        <v>99</v>
      </c>
      <c r="H343" t="s">
        <v>358</v>
      </c>
    </row>
    <row r="344" spans="1:8" x14ac:dyDescent="0.25">
      <c r="A344">
        <f t="shared" si="15"/>
        <v>1</v>
      </c>
      <c r="B344">
        <f t="shared" si="16"/>
        <v>12299</v>
      </c>
      <c r="C344" t="str">
        <f>[1]!RegExpSubstitute(MID(H344,FIND("- ",H344)+2,FIND("- ",H344,FIND("- ",H344)+1)-FIND("- ",H344)-2),"\&amp;quot\;.*\&amp;quot\;\W","")</f>
        <v xml:space="preserve">D'Angelo Thompson </v>
      </c>
      <c r="D344" t="str">
        <f>VLOOKUP(SUBSTITUTE(TRIM(MID(H344,FIND(",TPE:",H344)-3,3)),"- ",""),Index!D:E,2,FALSE)</f>
        <v>Safety</v>
      </c>
      <c r="E344" t="str">
        <f>MID(H344,FIND("(",H344)+1,FIND(")",H344)-FIND("(",H344)-1)</f>
        <v>S15</v>
      </c>
      <c r="F344" t="s">
        <v>384</v>
      </c>
      <c r="G344">
        <f t="shared" si="17"/>
        <v>50</v>
      </c>
      <c r="H344" t="s">
        <v>22</v>
      </c>
    </row>
    <row r="345" spans="1:8" x14ac:dyDescent="0.25">
      <c r="A345">
        <f t="shared" si="15"/>
        <v>1</v>
      </c>
      <c r="B345">
        <f t="shared" si="16"/>
        <v>12296</v>
      </c>
      <c r="C345" t="str">
        <f>[1]!RegExpSubstitute(MID(H345,FIND("- ",H345)+2,FIND("- ",H345,FIND("- ",H345)+1)-FIND("- ",H345)-2),"\&amp;quot\;.*\&amp;quot\;\W","")</f>
        <v xml:space="preserve">Ahri Espeeyeeseetee </v>
      </c>
      <c r="D345" t="str">
        <f>VLOOKUP(SUBSTITUTE(TRIM(MID(H345,FIND(",TPE:",H345)-3,3)),"- ",""),Index!D:E,2,FALSE)</f>
        <v>Wide Receiver</v>
      </c>
      <c r="E345" t="str">
        <f>MID(H345,FIND("(",H345)+1,FIND(")",H345)-FIND("(",H345)-1)</f>
        <v>S15</v>
      </c>
      <c r="F345" t="s">
        <v>384</v>
      </c>
      <c r="G345">
        <f t="shared" si="17"/>
        <v>151</v>
      </c>
      <c r="H345" t="s">
        <v>359</v>
      </c>
    </row>
    <row r="346" spans="1:8" x14ac:dyDescent="0.25">
      <c r="A346">
        <f t="shared" si="15"/>
        <v>1</v>
      </c>
      <c r="B346">
        <f t="shared" si="16"/>
        <v>12290</v>
      </c>
      <c r="C346" t="str">
        <f>[1]!RegExpSubstitute(MID(H346,FIND("- ",H346)+2,FIND("- ",H346,FIND("- ",H346)+1)-FIND("- ",H346)-2),"\&amp;quot\;.*\&amp;quot\;\W","")</f>
        <v xml:space="preserve">Lucas Knight </v>
      </c>
      <c r="D346" t="str">
        <f>VLOOKUP(SUBSTITUTE(TRIM(MID(H346,FIND(",TPE:",H346)-3,3)),"- ",""),Index!D:E,2,FALSE)</f>
        <v>Cornerback</v>
      </c>
      <c r="E346" t="str">
        <f>MID(H346,FIND("(",H346)+1,FIND(")",H346)-FIND("(",H346)-1)</f>
        <v>S15</v>
      </c>
      <c r="F346" t="s">
        <v>384</v>
      </c>
      <c r="G346">
        <f t="shared" si="17"/>
        <v>122</v>
      </c>
      <c r="H346" t="s">
        <v>360</v>
      </c>
    </row>
    <row r="347" spans="1:8" x14ac:dyDescent="0.25">
      <c r="A347">
        <f t="shared" si="15"/>
        <v>1</v>
      </c>
      <c r="B347">
        <f t="shared" si="16"/>
        <v>12240</v>
      </c>
      <c r="C347" t="str">
        <f>[1]!RegExpSubstitute(MID(H347,FIND("- ",H347)+2,FIND("- ",H347,FIND("- ",H347)+1)-FIND("- ",H347)-2),"\&amp;quot\;.*\&amp;quot\;\W","")</f>
        <v xml:space="preserve">Dorfus Jimbo </v>
      </c>
      <c r="D347" t="str">
        <f>VLOOKUP(SUBSTITUTE(TRIM(MID(H347,FIND(",TPE:",H347)-3,3)),"- ",""),Index!D:E,2,FALSE)</f>
        <v>Runningback</v>
      </c>
      <c r="E347" t="str">
        <f>MID(H347,FIND("(",H347)+1,FIND(")",H347)-FIND("(",H347)-1)</f>
        <v>S15</v>
      </c>
      <c r="F347" t="s">
        <v>384</v>
      </c>
      <c r="G347">
        <f t="shared" si="17"/>
        <v>118</v>
      </c>
      <c r="H347" t="s">
        <v>361</v>
      </c>
    </row>
    <row r="348" spans="1:8" x14ac:dyDescent="0.25">
      <c r="A348">
        <f t="shared" si="15"/>
        <v>1</v>
      </c>
      <c r="B348">
        <f t="shared" si="16"/>
        <v>12143</v>
      </c>
      <c r="C348" t="str">
        <f>[1]!RegExpSubstitute(MID(H348,FIND("- ",H348)+2,FIND("- ",H348,FIND("- ",H348)+1)-FIND("- ",H348)-2),"\&amp;quot\;.*\&amp;quot\;\W","")</f>
        <v xml:space="preserve">Jack Rambo </v>
      </c>
      <c r="D348" t="str">
        <f>VLOOKUP(SUBSTITUTE(TRIM(MID(H348,FIND(",TPE:",H348)-3,3)),"- ",""),Index!D:E,2,FALSE)</f>
        <v>Safety</v>
      </c>
      <c r="E348" t="str">
        <f>MID(H348,FIND("(",H348)+1,FIND(")",H348)-FIND("(",H348)-1)</f>
        <v>S15</v>
      </c>
      <c r="F348" t="s">
        <v>384</v>
      </c>
      <c r="G348">
        <f t="shared" si="17"/>
        <v>111</v>
      </c>
      <c r="H348" t="s">
        <v>362</v>
      </c>
    </row>
    <row r="349" spans="1:8" x14ac:dyDescent="0.25">
      <c r="A349">
        <f t="shared" si="15"/>
        <v>1</v>
      </c>
      <c r="B349">
        <f t="shared" si="16"/>
        <v>12188</v>
      </c>
      <c r="C349" t="str">
        <f>[1]!RegExpSubstitute(MID(H349,FIND("- ",H349)+2,FIND("- ",H349,FIND("- ",H349)+1)-FIND("- ",H349)-2),"\&amp;quot\;.*\&amp;quot\;\W","")</f>
        <v xml:space="preserve">Logan Uchiha </v>
      </c>
      <c r="D349" t="str">
        <f>VLOOKUP(SUBSTITUTE(TRIM(MID(H349,FIND(",TPE:",H349)-3,3)),"- ",""),Index!D:E,2,FALSE)</f>
        <v>Safety</v>
      </c>
      <c r="E349" t="str">
        <f>MID(H349,FIND("(",H349)+1,FIND(")",H349)-FIND("(",H349)-1)</f>
        <v>S15</v>
      </c>
      <c r="F349" t="s">
        <v>384</v>
      </c>
      <c r="G349">
        <f t="shared" si="17"/>
        <v>87</v>
      </c>
      <c r="H349" t="s">
        <v>363</v>
      </c>
    </row>
    <row r="350" spans="1:8" x14ac:dyDescent="0.25">
      <c r="A350">
        <f t="shared" si="15"/>
        <v>1</v>
      </c>
      <c r="B350">
        <f t="shared" si="16"/>
        <v>12154</v>
      </c>
      <c r="C350" t="str">
        <f>[1]!RegExpSubstitute(MID(H350,FIND("- ",H350)+2,FIND("- ",H350,FIND("- ",H350)+1)-FIND("- ",H350)-2),"\&amp;quot\;.*\&amp;quot\;\W","")</f>
        <v xml:space="preserve">Poster Nutbag </v>
      </c>
      <c r="D350" t="str">
        <f>VLOOKUP(SUBSTITUTE(TRIM(MID(H350,FIND(",TPE:",H350)-3,3)),"- ",""),Index!D:E,2,FALSE)</f>
        <v>Defensive Line</v>
      </c>
      <c r="E350" t="str">
        <f>MID(H350,FIND("(",H350)+1,FIND(")",H350)-FIND("(",H350)-1)</f>
        <v>S15</v>
      </c>
      <c r="F350" t="s">
        <v>384</v>
      </c>
      <c r="G350">
        <f t="shared" si="17"/>
        <v>50</v>
      </c>
      <c r="H350" t="s">
        <v>23</v>
      </c>
    </row>
    <row r="351" spans="1:8" x14ac:dyDescent="0.25">
      <c r="A351">
        <f t="shared" si="15"/>
        <v>1</v>
      </c>
      <c r="B351">
        <f t="shared" si="16"/>
        <v>12153</v>
      </c>
      <c r="C351" t="str">
        <f>[1]!RegExpSubstitute(MID(H351,FIND("- ",H351)+2,FIND("- ",H351,FIND("- ",H351)+1)-FIND("- ",H351)-2),"\&amp;quot\;.*\&amp;quot\;\W","")</f>
        <v xml:space="preserve">Luke South </v>
      </c>
      <c r="D351" t="str">
        <f>VLOOKUP(SUBSTITUTE(TRIM(MID(H351,FIND(",TPE:",H351)-3,3)),"- ",""),Index!D:E,2,FALSE)</f>
        <v>Tight End</v>
      </c>
      <c r="E351" t="str">
        <f>MID(H351,FIND("(",H351)+1,FIND(")",H351)-FIND("(",H351)-1)</f>
        <v>S15</v>
      </c>
      <c r="F351" t="s">
        <v>384</v>
      </c>
      <c r="G351">
        <f t="shared" si="17"/>
        <v>50</v>
      </c>
      <c r="H351" t="s">
        <v>24</v>
      </c>
    </row>
    <row r="352" spans="1:8" x14ac:dyDescent="0.25">
      <c r="A352">
        <f t="shared" si="15"/>
        <v>1</v>
      </c>
      <c r="B352">
        <f t="shared" si="16"/>
        <v>12138</v>
      </c>
      <c r="C352" t="str">
        <f>[1]!RegExpSubstitute(MID(H352,FIND("- ",H352)+2,FIND("- ",H352,FIND("- ",H352)+1)-FIND("- ",H352)-2),"\&amp;quot\;.*\&amp;quot\;\W","")</f>
        <v xml:space="preserve">Giannis Kroustis </v>
      </c>
      <c r="D352" t="str">
        <f>VLOOKUP(SUBSTITUTE(TRIM(MID(H352,FIND(",TPE:",H352)-3,3)),"- ",""),Index!D:E,2,FALSE)</f>
        <v>Safety</v>
      </c>
      <c r="E352" t="str">
        <f>MID(H352,FIND("(",H352)+1,FIND(")",H352)-FIND("(",H352)-1)</f>
        <v>S15</v>
      </c>
      <c r="F352" t="s">
        <v>384</v>
      </c>
      <c r="G352">
        <f t="shared" si="17"/>
        <v>117</v>
      </c>
      <c r="H352" t="s">
        <v>364</v>
      </c>
    </row>
    <row r="353" spans="1:8" x14ac:dyDescent="0.25">
      <c r="A353">
        <f t="shared" si="15"/>
        <v>1</v>
      </c>
      <c r="B353">
        <f t="shared" si="16"/>
        <v>12107</v>
      </c>
      <c r="C353" t="str">
        <f>[1]!RegExpSubstitute(MID(H353,FIND("- ",H353)+2,FIND("- ",H353,FIND("- ",H353)+1)-FIND("- ",H353)-2),"\&amp;quot\;.*\&amp;quot\;\W","")</f>
        <v xml:space="preserve">Nick Snider </v>
      </c>
      <c r="D353" t="str">
        <f>VLOOKUP(SUBSTITUTE(TRIM(MID(H353,FIND(",TPE:",H353)-3,3)),"- ",""),Index!D:E,2,FALSE)</f>
        <v>Defensive Line</v>
      </c>
      <c r="E353" t="str">
        <f>MID(H353,FIND("(",H353)+1,FIND(")",H353)-FIND("(",H353)-1)</f>
        <v>S15</v>
      </c>
      <c r="F353" t="s">
        <v>384</v>
      </c>
      <c r="G353">
        <f t="shared" si="17"/>
        <v>87</v>
      </c>
      <c r="H353" t="s">
        <v>365</v>
      </c>
    </row>
    <row r="354" spans="1:8" x14ac:dyDescent="0.25">
      <c r="A354">
        <f t="shared" si="15"/>
        <v>1</v>
      </c>
      <c r="B354">
        <f t="shared" si="16"/>
        <v>12063</v>
      </c>
      <c r="C354" t="str">
        <f>[1]!RegExpSubstitute(MID(H354,FIND("- ",H354)+2,FIND("- ",H354,FIND("- ",H354)+1)-FIND("- ",H354)-2),"\&amp;quot\;.*\&amp;quot\;\W","")</f>
        <v xml:space="preserve">Ricardo Morris </v>
      </c>
      <c r="D354" t="str">
        <f>VLOOKUP(SUBSTITUTE(TRIM(MID(H354,FIND(",TPE:",H354)-3,3)),"- ",""),Index!D:E,2,FALSE)</f>
        <v>Defensive Line</v>
      </c>
      <c r="E354" t="str">
        <f>MID(H354,FIND("(",H354)+1,FIND(")",H354)-FIND("(",H354)-1)</f>
        <v>S15</v>
      </c>
      <c r="F354" t="s">
        <v>384</v>
      </c>
      <c r="G354">
        <f t="shared" si="17"/>
        <v>149</v>
      </c>
      <c r="H354" t="s">
        <v>366</v>
      </c>
    </row>
    <row r="355" spans="1:8" x14ac:dyDescent="0.25">
      <c r="A355">
        <f t="shared" si="15"/>
        <v>1</v>
      </c>
      <c r="B355">
        <f t="shared" si="16"/>
        <v>12087</v>
      </c>
      <c r="C355" t="str">
        <f>[1]!RegExpSubstitute(MID(H355,FIND("- ",H355)+2,FIND("- ",H355,FIND("- ",H355)+1)-FIND("- ",H355)-2),"\&amp;quot\;.*\&amp;quot\;\W","")</f>
        <v xml:space="preserve">Brock Landers </v>
      </c>
      <c r="D355" t="str">
        <f>VLOOKUP(SUBSTITUTE(TRIM(MID(H355,FIND(",TPE:",H355)-3,3)),"- ",""),Index!D:E,2,FALSE)</f>
        <v>Wide Receiver</v>
      </c>
      <c r="E355" t="str">
        <f>MID(H355,FIND("(",H355)+1,FIND(")",H355)-FIND("(",H355)-1)</f>
        <v>S15</v>
      </c>
      <c r="F355" t="s">
        <v>384</v>
      </c>
      <c r="G355">
        <f t="shared" si="17"/>
        <v>153</v>
      </c>
      <c r="H355" t="s">
        <v>367</v>
      </c>
    </row>
    <row r="356" spans="1:8" x14ac:dyDescent="0.25">
      <c r="A356">
        <f t="shared" si="15"/>
        <v>1</v>
      </c>
      <c r="B356">
        <f t="shared" si="16"/>
        <v>12086</v>
      </c>
      <c r="C356" t="str">
        <f>[1]!RegExpSubstitute(MID(H356,FIND("- ",H356)+2,FIND("- ",H356,FIND("- ",H356)+1)-FIND("- ",H356)-2),"\&amp;quot\;.*\&amp;quot\;\W","")</f>
        <v xml:space="preserve">Marquees Acho </v>
      </c>
      <c r="D356" t="str">
        <f>VLOOKUP(SUBSTITUTE(TRIM(MID(H356,FIND(",TPE:",H356)-3,3)),"- ",""),Index!D:E,2,FALSE)</f>
        <v>Linebacker</v>
      </c>
      <c r="E356" t="str">
        <f>MID(H356,FIND("(",H356)+1,FIND(")",H356)-FIND("(",H356)-1)</f>
        <v>S15</v>
      </c>
      <c r="F356" t="s">
        <v>384</v>
      </c>
      <c r="G356">
        <f t="shared" si="17"/>
        <v>105</v>
      </c>
      <c r="H356" t="s">
        <v>368</v>
      </c>
    </row>
    <row r="357" spans="1:8" x14ac:dyDescent="0.25">
      <c r="A357">
        <f t="shared" si="15"/>
        <v>1</v>
      </c>
      <c r="B357">
        <f t="shared" si="16"/>
        <v>11967</v>
      </c>
      <c r="C357" t="str">
        <f>[1]!RegExpSubstitute(MID(H357,FIND("- ",H357)+2,FIND("- ",H357,FIND("- ",H357)+1)-FIND("- ",H357)-2),"\&amp;quot\;.*\&amp;quot\;\W","")</f>
        <v xml:space="preserve">Allen Josh </v>
      </c>
      <c r="D357" t="str">
        <f>VLOOKUP(SUBSTITUTE(TRIM(MID(H357,FIND(",TPE:",H357)-3,3)),"- ",""),Index!D:E,2,FALSE)</f>
        <v>Linebacker</v>
      </c>
      <c r="E357" t="str">
        <f>MID(H357,FIND("(",H357)+1,FIND(")",H357)-FIND("(",H357)-1)</f>
        <v>S15</v>
      </c>
      <c r="F357" t="s">
        <v>384</v>
      </c>
      <c r="G357">
        <f t="shared" si="17"/>
        <v>158</v>
      </c>
      <c r="H357" t="s">
        <v>369</v>
      </c>
    </row>
    <row r="358" spans="1:8" x14ac:dyDescent="0.25">
      <c r="A358">
        <f t="shared" si="15"/>
        <v>1</v>
      </c>
      <c r="B358">
        <f t="shared" si="16"/>
        <v>9569</v>
      </c>
      <c r="C358" t="str">
        <f>[1]!RegExpSubstitute(MID(H358,FIND("- ",H358)+2,FIND("- ",H358,FIND("- ",H358)+1)-FIND("- ",H358)-2),"\&amp;quot\;.*\&amp;quot\;\W","")</f>
        <v xml:space="preserve">Brock St. Winchester </v>
      </c>
      <c r="D358" t="str">
        <f>VLOOKUP(SUBSTITUTE(TRIM(MID(H358,FIND(",TPE:",H358)-3,3)),"- ",""),Index!D:E,2,FALSE)</f>
        <v>Linebacker</v>
      </c>
      <c r="E358" t="str">
        <f>MID(H358,FIND("(",H358)+1,FIND(")",H358)-FIND("(",H358)-1)</f>
        <v>S10</v>
      </c>
      <c r="F358" t="s">
        <v>384</v>
      </c>
      <c r="G358">
        <f t="shared" si="17"/>
        <v>50</v>
      </c>
      <c r="H358" t="s">
        <v>25</v>
      </c>
    </row>
    <row r="359" spans="1:8" x14ac:dyDescent="0.25">
      <c r="A359">
        <f t="shared" si="15"/>
        <v>1</v>
      </c>
      <c r="B359">
        <f t="shared" si="16"/>
        <v>9568</v>
      </c>
      <c r="C359" t="str">
        <f>[1]!RegExpSubstitute(MID(H359,FIND("- ",H359)+2,FIND("- ",H359,FIND("- ",H359)+1)-FIND("- ",H359)-2),"\&amp;quot\;.*\&amp;quot\;\W","")</f>
        <v xml:space="preserve">Trey Westfield </v>
      </c>
      <c r="D359" t="str">
        <f>VLOOKUP(SUBSTITUTE(TRIM(MID(H359,FIND(",TPE:",H359)-3,3)),"- ",""),Index!D:E,2,FALSE)</f>
        <v>Wide Receiver</v>
      </c>
      <c r="E359" t="str">
        <f>MID(H359,FIND("(",H359)+1,FIND(")",H359)-FIND("(",H359)-1)</f>
        <v>S10</v>
      </c>
      <c r="F359" t="s">
        <v>384</v>
      </c>
      <c r="G359">
        <f t="shared" si="17"/>
        <v>50</v>
      </c>
      <c r="H359" t="s">
        <v>26</v>
      </c>
    </row>
    <row r="360" spans="1:8" x14ac:dyDescent="0.25">
      <c r="A360">
        <f t="shared" si="15"/>
        <v>1</v>
      </c>
      <c r="B360">
        <f t="shared" si="16"/>
        <v>9567</v>
      </c>
      <c r="C360" t="str">
        <f>[1]!RegExpSubstitute(MID(H360,FIND("- ",H360)+2,FIND("- ",H360,FIND("- ",H360)+1)-FIND("- ",H360)-2),"\&amp;quot\;.*\&amp;quot\;\W","")</f>
        <v xml:space="preserve">Buzz Swaggerty </v>
      </c>
      <c r="D360" t="str">
        <f>VLOOKUP(SUBSTITUTE(TRIM(MID(H360,FIND(",TPE:",H360)-3,3)),"- ",""),Index!D:E,2,FALSE)</f>
        <v>Quarterback</v>
      </c>
      <c r="E360" t="str">
        <f>MID(H360,FIND("(",H360)+1,FIND(")",H360)-FIND("(",H360)-1)</f>
        <v>S10</v>
      </c>
      <c r="F360" t="s">
        <v>384</v>
      </c>
      <c r="G360">
        <f t="shared" si="17"/>
        <v>50</v>
      </c>
      <c r="H360" t="s">
        <v>27</v>
      </c>
    </row>
    <row r="361" spans="1:8" x14ac:dyDescent="0.25">
      <c r="A361">
        <f t="shared" si="15"/>
        <v>1</v>
      </c>
      <c r="B361">
        <f t="shared" si="16"/>
        <v>12223</v>
      </c>
      <c r="C361" t="str">
        <f>[1]!RegExpSubstitute(MID(H361,FIND("- ",H361)+2,FIND("- ",H361,FIND("- ",H361)+1)-FIND("- ",H361)-2),"\&amp;quot\;.*\&amp;quot\;\W","")</f>
        <v xml:space="preserve">Ronald St. James III </v>
      </c>
      <c r="D361" t="str">
        <f>VLOOKUP(SUBSTITUTE(TRIM(MID(H361,FIND(",TPE:",H361)-3,3)),"- ",""),Index!D:E,2,FALSE)</f>
        <v>Runningback</v>
      </c>
      <c r="E361" t="str">
        <f>MID(H361,FIND("(",H361)+1,FIND(")",H361)-FIND("(",H361)-1)</f>
        <v>S15</v>
      </c>
      <c r="F361" t="s">
        <v>385</v>
      </c>
      <c r="G361">
        <f t="shared" si="17"/>
        <v>50</v>
      </c>
      <c r="H361" t="s">
        <v>2</v>
      </c>
    </row>
    <row r="362" spans="1:8" x14ac:dyDescent="0.25">
      <c r="A362">
        <f t="shared" si="15"/>
        <v>1</v>
      </c>
      <c r="B362">
        <f t="shared" si="16"/>
        <v>12198</v>
      </c>
      <c r="C362" t="str">
        <f>[1]!RegExpSubstitute(MID(H362,FIND("- ",H362)+2,FIND("- ",H362,FIND("- ",H362)+1)-FIND("- ",H362)-2),"\&amp;quot\;.*\&amp;quot\;\W","")</f>
        <v xml:space="preserve">Matteo Maximin </v>
      </c>
      <c r="D362" t="str">
        <f>VLOOKUP(SUBSTITUTE(TRIM(MID(H362,FIND(",TPE:",H362)-3,3)),"- ",""),Index!D:E,2,FALSE)</f>
        <v>Cornerback</v>
      </c>
      <c r="E362" t="str">
        <f>MID(H362,FIND("(",H362)+1,FIND(")",H362)-FIND("(",H362)-1)</f>
        <v>S15</v>
      </c>
      <c r="F362" t="s">
        <v>385</v>
      </c>
      <c r="G362">
        <f t="shared" si="17"/>
        <v>50</v>
      </c>
      <c r="H362" t="s">
        <v>0</v>
      </c>
    </row>
    <row r="363" spans="1:8" x14ac:dyDescent="0.25">
      <c r="A363">
        <f t="shared" si="15"/>
        <v>1</v>
      </c>
      <c r="B363">
        <f t="shared" si="16"/>
        <v>12226</v>
      </c>
      <c r="C363" t="str">
        <f>[1]!RegExpSubstitute(MID(H363,FIND("- ",H363)+2,FIND("- ",H363,FIND("- ",H363)+1)-FIND("- ",H363)-2),"\&amp;quot\;.*\&amp;quot\;\W","")</f>
        <v xml:space="preserve">Proy Tolamalu  </v>
      </c>
      <c r="D363" t="str">
        <f>VLOOKUP(SUBSTITUTE(TRIM(MID(H363,FIND(",TPE:",H363)-3,3)),"- ",""),Index!D:E,2,FALSE)</f>
        <v>Safety</v>
      </c>
      <c r="E363" t="str">
        <f>MID(H363,FIND("(",H363)+1,FIND(")",H363)-FIND("(",H363)-1)</f>
        <v>S15</v>
      </c>
      <c r="F363" t="s">
        <v>385</v>
      </c>
      <c r="G363">
        <f t="shared" si="17"/>
        <v>50</v>
      </c>
      <c r="H363" t="s">
        <v>3</v>
      </c>
    </row>
    <row r="364" spans="1:8" x14ac:dyDescent="0.25">
      <c r="A364">
        <f t="shared" si="15"/>
        <v>1</v>
      </c>
      <c r="B364">
        <f t="shared" si="16"/>
        <v>12009</v>
      </c>
      <c r="C364" t="str">
        <f>[1]!RegExpSubstitute(MID(H364,FIND("- ",H364)+2,FIND("- ",H364,FIND("- ",H364)+1)-FIND("- ",H364)-2),"\&amp;quot\;.*\&amp;quot\;\W","")</f>
        <v xml:space="preserve">Paul DiMirio III </v>
      </c>
      <c r="D364" t="str">
        <f>VLOOKUP(SUBSTITUTE(TRIM(MID(H364,FIND(",TPE:",H364)-3,3)),"- ",""),Index!D:E,2,FALSE)</f>
        <v>Kicker</v>
      </c>
      <c r="E364" t="str">
        <f>MID(H364,FIND("(",H364)+1,FIND(")",H364)-FIND("(",H364)-1)</f>
        <v>S15</v>
      </c>
      <c r="F364" t="s">
        <v>385</v>
      </c>
      <c r="G364">
        <f t="shared" si="17"/>
        <v>50</v>
      </c>
      <c r="H364" t="s">
        <v>1</v>
      </c>
    </row>
  </sheetData>
  <autoFilter ref="B1:H373"/>
  <sortState ref="H1:H1242">
    <sortCondition ref="H34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>
      <selection activeCell="B10" sqref="B10:B16"/>
    </sheetView>
  </sheetViews>
  <sheetFormatPr defaultRowHeight="15" x14ac:dyDescent="0.25"/>
  <cols>
    <col min="2" max="2" width="23.85546875" bestFit="1" customWidth="1"/>
    <col min="5" max="5" width="14.28515625" bestFit="1" customWidth="1"/>
  </cols>
  <sheetData>
    <row r="1" spans="1:5" x14ac:dyDescent="0.25">
      <c r="A1">
        <v>1</v>
      </c>
      <c r="B1" t="s">
        <v>370</v>
      </c>
      <c r="D1" t="s">
        <v>386</v>
      </c>
      <c r="E1" t="s">
        <v>411</v>
      </c>
    </row>
    <row r="2" spans="1:5" x14ac:dyDescent="0.25">
      <c r="A2">
        <v>2</v>
      </c>
      <c r="B2" t="s">
        <v>371</v>
      </c>
      <c r="D2" t="s">
        <v>387</v>
      </c>
      <c r="E2" t="s">
        <v>410</v>
      </c>
    </row>
    <row r="3" spans="1:5" x14ac:dyDescent="0.25">
      <c r="A3">
        <v>3</v>
      </c>
      <c r="B3" t="s">
        <v>372</v>
      </c>
      <c r="D3" t="s">
        <v>388</v>
      </c>
      <c r="E3" t="s">
        <v>410</v>
      </c>
    </row>
    <row r="4" spans="1:5" x14ac:dyDescent="0.25">
      <c r="A4">
        <v>4</v>
      </c>
      <c r="B4" t="s">
        <v>373</v>
      </c>
      <c r="D4" t="s">
        <v>389</v>
      </c>
      <c r="E4" t="s">
        <v>409</v>
      </c>
    </row>
    <row r="5" spans="1:5" x14ac:dyDescent="0.25">
      <c r="A5">
        <v>5</v>
      </c>
      <c r="B5" t="s">
        <v>374</v>
      </c>
      <c r="D5" t="s">
        <v>390</v>
      </c>
      <c r="E5" t="s">
        <v>408</v>
      </c>
    </row>
    <row r="6" spans="1:5" x14ac:dyDescent="0.25">
      <c r="A6">
        <v>6</v>
      </c>
      <c r="B6" t="s">
        <v>375</v>
      </c>
      <c r="D6" t="s">
        <v>391</v>
      </c>
      <c r="E6" t="s">
        <v>407</v>
      </c>
    </row>
    <row r="7" spans="1:5" x14ac:dyDescent="0.25">
      <c r="A7">
        <v>7</v>
      </c>
      <c r="B7" t="s">
        <v>376</v>
      </c>
      <c r="D7" t="s">
        <v>392</v>
      </c>
      <c r="E7" t="s">
        <v>406</v>
      </c>
    </row>
    <row r="8" spans="1:5" x14ac:dyDescent="0.25">
      <c r="A8">
        <v>8</v>
      </c>
      <c r="B8" t="s">
        <v>377</v>
      </c>
      <c r="D8" t="s">
        <v>393</v>
      </c>
      <c r="E8" t="s">
        <v>406</v>
      </c>
    </row>
    <row r="9" spans="1:5" x14ac:dyDescent="0.25">
      <c r="A9">
        <v>9</v>
      </c>
      <c r="B9" t="s">
        <v>378</v>
      </c>
      <c r="D9" t="s">
        <v>394</v>
      </c>
      <c r="E9" t="s">
        <v>406</v>
      </c>
    </row>
    <row r="10" spans="1:5" x14ac:dyDescent="0.25">
      <c r="A10">
        <v>10</v>
      </c>
      <c r="B10" t="s">
        <v>379</v>
      </c>
      <c r="D10" t="s">
        <v>395</v>
      </c>
      <c r="E10" t="s">
        <v>405</v>
      </c>
    </row>
    <row r="11" spans="1:5" x14ac:dyDescent="0.25">
      <c r="A11">
        <v>11</v>
      </c>
      <c r="B11" t="s">
        <v>380</v>
      </c>
      <c r="D11" t="s">
        <v>396</v>
      </c>
      <c r="E11" t="s">
        <v>404</v>
      </c>
    </row>
    <row r="12" spans="1:5" x14ac:dyDescent="0.25">
      <c r="A12">
        <v>12</v>
      </c>
      <c r="B12" t="s">
        <v>381</v>
      </c>
      <c r="D12" t="s">
        <v>397</v>
      </c>
      <c r="E12" t="s">
        <v>403</v>
      </c>
    </row>
    <row r="13" spans="1:5" x14ac:dyDescent="0.25">
      <c r="A13">
        <v>13</v>
      </c>
      <c r="B13" t="s">
        <v>382</v>
      </c>
      <c r="D13" t="s">
        <v>398</v>
      </c>
      <c r="E13" t="s">
        <v>402</v>
      </c>
    </row>
    <row r="14" spans="1:5" x14ac:dyDescent="0.25">
      <c r="A14">
        <v>14</v>
      </c>
      <c r="B14" t="s">
        <v>383</v>
      </c>
      <c r="D14" t="s">
        <v>399</v>
      </c>
      <c r="E14" t="s">
        <v>402</v>
      </c>
    </row>
    <row r="15" spans="1:5" x14ac:dyDescent="0.25">
      <c r="A15">
        <v>15</v>
      </c>
      <c r="B15" t="s">
        <v>384</v>
      </c>
      <c r="D15" t="s">
        <v>400</v>
      </c>
      <c r="E15" t="s">
        <v>402</v>
      </c>
    </row>
    <row r="16" spans="1:5" x14ac:dyDescent="0.25">
      <c r="A16">
        <v>16</v>
      </c>
      <c r="B16" t="s">
        <v>385</v>
      </c>
      <c r="D16" t="s">
        <v>401</v>
      </c>
      <c r="E16" t="s">
        <v>402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Checker</vt:lpstr>
      <vt:lpstr>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Watson</dc:creator>
  <cp:lastModifiedBy>Benjamin Watson</cp:lastModifiedBy>
  <dcterms:created xsi:type="dcterms:W3CDTF">2019-03-22T11:18:03Z</dcterms:created>
  <dcterms:modified xsi:type="dcterms:W3CDTF">2019-03-27T15:30:22Z</dcterms:modified>
</cp:coreProperties>
</file>