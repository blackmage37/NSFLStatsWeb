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675" yWindow="-15" windowWidth="12540" windowHeight="12390" firstSheet="1" activeTab="1"/>
  </bookViews>
  <sheets>
    <sheet name="Index" sheetId="2" state="hidden" r:id="rId1"/>
    <sheet name="Checker" sheetId="1" r:id="rId2"/>
    <sheet name="Updates" sheetId="3" r:id="rId3"/>
  </sheets>
  <functionGroups builtInGroupCount="17"/>
  <externalReferences>
    <externalReference r:id="rId4"/>
  </externalReferences>
  <definedNames>
    <definedName name="_xlnm._FilterDatabase" localSheetId="1" hidden="1">Checker!$B$1:$H$373</definedName>
  </definedNames>
  <calcPr calcId="144525"/>
</workbook>
</file>

<file path=xl/calcChain.xml><?xml version="1.0" encoding="utf-8"?>
<calcChain xmlns="http://schemas.openxmlformats.org/spreadsheetml/2006/main">
  <c r="R3" i="3" l="1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2" i="3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2" i="1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2" i="1"/>
  <c r="B39" i="1"/>
  <c r="B103" i="1"/>
  <c r="B167" i="1"/>
  <c r="B231" i="1"/>
  <c r="B295" i="1"/>
  <c r="B28" i="1"/>
  <c r="B92" i="1"/>
  <c r="B156" i="1"/>
  <c r="B220" i="1"/>
  <c r="B284" i="1"/>
  <c r="B348" i="1"/>
  <c r="B37" i="1"/>
  <c r="B101" i="1"/>
  <c r="B165" i="1"/>
  <c r="B229" i="1"/>
  <c r="B293" i="1"/>
  <c r="B357" i="1"/>
  <c r="B46" i="1"/>
  <c r="B110" i="1"/>
  <c r="B174" i="1"/>
  <c r="B238" i="1"/>
  <c r="B302" i="1"/>
  <c r="B355" i="1"/>
  <c r="C235" i="1"/>
  <c r="C116" i="1"/>
  <c r="C9" i="1"/>
  <c r="C265" i="1"/>
  <c r="C154" i="1"/>
  <c r="C47" i="1"/>
  <c r="C303" i="1"/>
  <c r="B11" i="1"/>
  <c r="B75" i="1"/>
  <c r="B139" i="1"/>
  <c r="B203" i="1"/>
  <c r="B267" i="1"/>
  <c r="B64" i="1"/>
  <c r="B128" i="1"/>
  <c r="B192" i="1"/>
  <c r="B256" i="1"/>
  <c r="B320" i="1"/>
  <c r="B9" i="1"/>
  <c r="B73" i="1"/>
  <c r="B137" i="1"/>
  <c r="B201" i="1"/>
  <c r="B265" i="1"/>
  <c r="B329" i="1"/>
  <c r="B18" i="1"/>
  <c r="B82" i="1"/>
  <c r="B146" i="1"/>
  <c r="B210" i="1"/>
  <c r="B274" i="1"/>
  <c r="B338" i="1"/>
  <c r="C123" i="1"/>
  <c r="C4" i="1"/>
  <c r="C260" i="1"/>
  <c r="C153" i="1"/>
  <c r="C42" i="1"/>
  <c r="C298" i="1"/>
  <c r="C191" i="1"/>
  <c r="C88" i="1"/>
  <c r="B47" i="1"/>
  <c r="B111" i="1"/>
  <c r="B175" i="1"/>
  <c r="B239" i="1"/>
  <c r="B303" i="1"/>
  <c r="B36" i="1"/>
  <c r="B100" i="1"/>
  <c r="B164" i="1"/>
  <c r="B228" i="1"/>
  <c r="B292" i="1"/>
  <c r="B356" i="1"/>
  <c r="B45" i="1"/>
  <c r="B109" i="1"/>
  <c r="B173" i="1"/>
  <c r="B237" i="1"/>
  <c r="B301" i="1"/>
  <c r="B358" i="1"/>
  <c r="B54" i="1"/>
  <c r="B118" i="1"/>
  <c r="B182" i="1"/>
  <c r="B246" i="1"/>
  <c r="B310" i="1"/>
  <c r="C11" i="1"/>
  <c r="C267" i="1"/>
  <c r="C148" i="1"/>
  <c r="C41" i="1"/>
  <c r="C297" i="1"/>
  <c r="C186" i="1"/>
  <c r="C79" i="1"/>
  <c r="C335" i="1"/>
  <c r="C232" i="1"/>
  <c r="C125" i="1"/>
  <c r="B51" i="1"/>
  <c r="B115" i="1"/>
  <c r="B179" i="1"/>
  <c r="B243" i="1"/>
  <c r="B307" i="1"/>
  <c r="B40" i="1"/>
  <c r="B104" i="1"/>
  <c r="B168" i="1"/>
  <c r="B232" i="1"/>
  <c r="B296" i="1"/>
  <c r="B49" i="1"/>
  <c r="B113" i="1"/>
  <c r="B177" i="1"/>
  <c r="B241" i="1"/>
  <c r="B305" i="1"/>
  <c r="B327" i="1"/>
  <c r="B58" i="1"/>
  <c r="B122" i="1"/>
  <c r="B186" i="1"/>
  <c r="B250" i="1"/>
  <c r="B314" i="1"/>
  <c r="C27" i="1"/>
  <c r="C283" i="1"/>
  <c r="C164" i="1"/>
  <c r="C57" i="1"/>
  <c r="C313" i="1"/>
  <c r="C202" i="1"/>
  <c r="C95" i="1"/>
  <c r="C351" i="1"/>
  <c r="C248" i="1"/>
  <c r="C200" i="1"/>
  <c r="C237" i="1"/>
  <c r="C142" i="1"/>
  <c r="B55" i="1"/>
  <c r="B119" i="1"/>
  <c r="B183" i="1"/>
  <c r="B247" i="1"/>
  <c r="B311" i="1"/>
  <c r="B44" i="1"/>
  <c r="B108" i="1"/>
  <c r="B172" i="1"/>
  <c r="B236" i="1"/>
  <c r="B300" i="1"/>
  <c r="B53" i="1"/>
  <c r="B117" i="1"/>
  <c r="B181" i="1"/>
  <c r="B245" i="1"/>
  <c r="B309" i="1"/>
  <c r="B343" i="1"/>
  <c r="B62" i="1"/>
  <c r="B126" i="1"/>
  <c r="B190" i="1"/>
  <c r="B254" i="1"/>
  <c r="B318" i="1"/>
  <c r="C43" i="1"/>
  <c r="C299" i="1"/>
  <c r="C180" i="1"/>
  <c r="C73" i="1"/>
  <c r="C329" i="1"/>
  <c r="C218" i="1"/>
  <c r="C111" i="1"/>
  <c r="C8" i="1"/>
  <c r="B27" i="1"/>
  <c r="B91" i="1"/>
  <c r="B155" i="1"/>
  <c r="B219" i="1"/>
  <c r="B283" i="1"/>
  <c r="B16" i="1"/>
  <c r="B80" i="1"/>
  <c r="B144" i="1"/>
  <c r="B208" i="1"/>
  <c r="B272" i="1"/>
  <c r="B336" i="1"/>
  <c r="B25" i="1"/>
  <c r="B89" i="1"/>
  <c r="B153" i="1"/>
  <c r="B217" i="1"/>
  <c r="B281" i="1"/>
  <c r="B345" i="1"/>
  <c r="B34" i="1"/>
  <c r="B98" i="1"/>
  <c r="B162" i="1"/>
  <c r="B226" i="1"/>
  <c r="B290" i="1"/>
  <c r="B354" i="1"/>
  <c r="C187" i="1"/>
  <c r="C68" i="1"/>
  <c r="C324" i="1"/>
  <c r="C217" i="1"/>
  <c r="C106" i="1"/>
  <c r="C255" i="1"/>
  <c r="C152" i="1"/>
  <c r="B63" i="1"/>
  <c r="B127" i="1"/>
  <c r="B191" i="1"/>
  <c r="B255" i="1"/>
  <c r="B319" i="1"/>
  <c r="B52" i="1"/>
  <c r="B116" i="1"/>
  <c r="B180" i="1"/>
  <c r="B244" i="1"/>
  <c r="B308" i="1"/>
  <c r="B335" i="1"/>
  <c r="B61" i="1"/>
  <c r="B125" i="1"/>
  <c r="B189" i="1"/>
  <c r="B253" i="1"/>
  <c r="B317" i="1"/>
  <c r="B6" i="1"/>
  <c r="B70" i="1"/>
  <c r="B134" i="1"/>
  <c r="B198" i="1"/>
  <c r="B262" i="1"/>
  <c r="B326" i="1"/>
  <c r="C75" i="1"/>
  <c r="C331" i="1"/>
  <c r="C212" i="1"/>
  <c r="C105" i="1"/>
  <c r="C250" i="1"/>
  <c r="C143" i="1"/>
  <c r="C40" i="1"/>
  <c r="C296" i="1"/>
  <c r="B3" i="1"/>
  <c r="B67" i="1"/>
  <c r="B131" i="1"/>
  <c r="B195" i="1"/>
  <c r="B259" i="1"/>
  <c r="B331" i="1"/>
  <c r="B56" i="1"/>
  <c r="B120" i="1"/>
  <c r="B184" i="1"/>
  <c r="B248" i="1"/>
  <c r="B312" i="1"/>
  <c r="B351" i="1"/>
  <c r="B65" i="1"/>
  <c r="B129" i="1"/>
  <c r="B193" i="1"/>
  <c r="B257" i="1"/>
  <c r="B321" i="1"/>
  <c r="B10" i="1"/>
  <c r="B74" i="1"/>
  <c r="B138" i="1"/>
  <c r="B202" i="1"/>
  <c r="B266" i="1"/>
  <c r="B330" i="1"/>
  <c r="C91" i="1"/>
  <c r="C347" i="1"/>
  <c r="C228" i="1"/>
  <c r="C121" i="1"/>
  <c r="C10" i="1"/>
  <c r="C266" i="1"/>
  <c r="C159" i="1"/>
  <c r="C56" i="1"/>
  <c r="C312" i="1"/>
  <c r="B7" i="1"/>
  <c r="B135" i="1"/>
  <c r="B263" i="1"/>
  <c r="B60" i="1"/>
  <c r="B188" i="1"/>
  <c r="B316" i="1"/>
  <c r="B69" i="1"/>
  <c r="B197" i="1"/>
  <c r="B325" i="1"/>
  <c r="B78" i="1"/>
  <c r="B206" i="1"/>
  <c r="B334" i="1"/>
  <c r="C137" i="1"/>
  <c r="C282" i="1"/>
  <c r="C72" i="1"/>
  <c r="B107" i="1"/>
  <c r="B235" i="1"/>
  <c r="B32" i="1"/>
  <c r="B160" i="1"/>
  <c r="B288" i="1"/>
  <c r="B41" i="1"/>
  <c r="B169" i="1"/>
  <c r="B297" i="1"/>
  <c r="B50" i="1"/>
  <c r="B178" i="1"/>
  <c r="B306" i="1"/>
  <c r="C251" i="1"/>
  <c r="C25" i="1"/>
  <c r="C170" i="1"/>
  <c r="C319" i="1"/>
  <c r="B79" i="1"/>
  <c r="B207" i="1"/>
  <c r="B4" i="1"/>
  <c r="B132" i="1"/>
  <c r="B260" i="1"/>
  <c r="B13" i="1"/>
  <c r="B141" i="1"/>
  <c r="B269" i="1"/>
  <c r="B22" i="1"/>
  <c r="B150" i="1"/>
  <c r="B278" i="1"/>
  <c r="C139" i="1"/>
  <c r="C276" i="1"/>
  <c r="C58" i="1"/>
  <c r="C207" i="1"/>
  <c r="B83" i="1"/>
  <c r="B211" i="1"/>
  <c r="B8" i="1"/>
  <c r="B136" i="1"/>
  <c r="B264" i="1"/>
  <c r="B17" i="1"/>
  <c r="B145" i="1"/>
  <c r="B273" i="1"/>
  <c r="B26" i="1"/>
  <c r="B154" i="1"/>
  <c r="B282" i="1"/>
  <c r="C155" i="1"/>
  <c r="C292" i="1"/>
  <c r="C74" i="1"/>
  <c r="C223" i="1"/>
  <c r="C13" i="1"/>
  <c r="C173" i="1"/>
  <c r="C206" i="1"/>
  <c r="C99" i="1"/>
  <c r="C355" i="1"/>
  <c r="C252" i="1"/>
  <c r="C145" i="1"/>
  <c r="C50" i="1"/>
  <c r="C306" i="1"/>
  <c r="C199" i="1"/>
  <c r="C96" i="1"/>
  <c r="C352" i="1"/>
  <c r="C245" i="1"/>
  <c r="C134" i="1"/>
  <c r="C318" i="1"/>
  <c r="C354" i="1"/>
  <c r="C336" i="1"/>
  <c r="C246" i="1"/>
  <c r="C109" i="1"/>
  <c r="C30" i="1"/>
  <c r="C286" i="1"/>
  <c r="C179" i="1"/>
  <c r="C76" i="1"/>
  <c r="C332" i="1"/>
  <c r="C225" i="1"/>
  <c r="C130" i="1"/>
  <c r="B23" i="1"/>
  <c r="B151" i="1"/>
  <c r="B279" i="1"/>
  <c r="B76" i="1"/>
  <c r="B204" i="1"/>
  <c r="B332" i="1"/>
  <c r="B85" i="1"/>
  <c r="B213" i="1"/>
  <c r="B341" i="1"/>
  <c r="B94" i="1"/>
  <c r="B222" i="1"/>
  <c r="B350" i="1"/>
  <c r="C52" i="1"/>
  <c r="C201" i="1"/>
  <c r="C346" i="1"/>
  <c r="C136" i="1"/>
  <c r="B123" i="1"/>
  <c r="B251" i="1"/>
  <c r="B48" i="1"/>
  <c r="B176" i="1"/>
  <c r="B304" i="1"/>
  <c r="B57" i="1"/>
  <c r="B185" i="1"/>
  <c r="B313" i="1"/>
  <c r="B66" i="1"/>
  <c r="B194" i="1"/>
  <c r="B322" i="1"/>
  <c r="C315" i="1"/>
  <c r="C89" i="1"/>
  <c r="C234" i="1"/>
  <c r="C24" i="1"/>
  <c r="B95" i="1"/>
  <c r="B223" i="1"/>
  <c r="B20" i="1"/>
  <c r="B148" i="1"/>
  <c r="B276" i="1"/>
  <c r="B29" i="1"/>
  <c r="B157" i="1"/>
  <c r="B285" i="1"/>
  <c r="B38" i="1"/>
  <c r="B166" i="1"/>
  <c r="B294" i="1"/>
  <c r="C203" i="1"/>
  <c r="C340" i="1"/>
  <c r="C122" i="1"/>
  <c r="C271" i="1"/>
  <c r="C61" i="1"/>
  <c r="B99" i="1"/>
  <c r="B227" i="1"/>
  <c r="B24" i="1"/>
  <c r="B152" i="1"/>
  <c r="B280" i="1"/>
  <c r="B33" i="1"/>
  <c r="B161" i="1"/>
  <c r="B289" i="1"/>
  <c r="B42" i="1"/>
  <c r="B170" i="1"/>
  <c r="B298" i="1"/>
  <c r="C219" i="1"/>
  <c r="C356" i="1"/>
  <c r="C138" i="1"/>
  <c r="C287" i="1"/>
  <c r="C77" i="1"/>
  <c r="C301" i="1"/>
  <c r="C270" i="1"/>
  <c r="C163" i="1"/>
  <c r="C60" i="1"/>
  <c r="C316" i="1"/>
  <c r="C209" i="1"/>
  <c r="C114" i="1"/>
  <c r="C7" i="1"/>
  <c r="C263" i="1"/>
  <c r="C160" i="1"/>
  <c r="C53" i="1"/>
  <c r="C309" i="1"/>
  <c r="C198" i="1"/>
  <c r="C211" i="1"/>
  <c r="C193" i="1"/>
  <c r="C183" i="1"/>
  <c r="C37" i="1"/>
  <c r="C2" i="1"/>
  <c r="C189" i="1"/>
  <c r="C94" i="1"/>
  <c r="C350" i="1"/>
  <c r="C243" i="1"/>
  <c r="C140" i="1"/>
  <c r="C33" i="1"/>
  <c r="C289" i="1"/>
  <c r="C194" i="1"/>
  <c r="C87" i="1"/>
  <c r="C343" i="1"/>
  <c r="C240" i="1"/>
  <c r="C133" i="1"/>
  <c r="C22" i="1"/>
  <c r="C278" i="1"/>
  <c r="C280" i="1"/>
  <c r="C126" i="1"/>
  <c r="C339" i="1"/>
  <c r="C257" i="1"/>
  <c r="C247" i="1"/>
  <c r="C293" i="1"/>
  <c r="C29" i="1"/>
  <c r="C333" i="1"/>
  <c r="C238" i="1"/>
  <c r="C131" i="1"/>
  <c r="C28" i="1"/>
  <c r="C284" i="1"/>
  <c r="C177" i="1"/>
  <c r="C82" i="1"/>
  <c r="C338" i="1"/>
  <c r="C231" i="1"/>
  <c r="C128" i="1"/>
  <c r="C21" i="1"/>
  <c r="C277" i="1"/>
  <c r="C230" i="1"/>
  <c r="C62" i="1"/>
  <c r="C172" i="1"/>
  <c r="C55" i="1"/>
  <c r="C357" i="1"/>
  <c r="B71" i="1"/>
  <c r="B199" i="1"/>
  <c r="B347" i="1"/>
  <c r="B124" i="1"/>
  <c r="B252" i="1"/>
  <c r="B5" i="1"/>
  <c r="B133" i="1"/>
  <c r="B261" i="1"/>
  <c r="B140" i="1"/>
  <c r="B277" i="1"/>
  <c r="B158" i="1"/>
  <c r="C171" i="1"/>
  <c r="C90" i="1"/>
  <c r="B59" i="1"/>
  <c r="B315" i="1"/>
  <c r="B240" i="1"/>
  <c r="B121" i="1"/>
  <c r="B359" i="1"/>
  <c r="B258" i="1"/>
  <c r="C196" i="1"/>
  <c r="C127" i="1"/>
  <c r="B159" i="1"/>
  <c r="B84" i="1"/>
  <c r="B340" i="1"/>
  <c r="B221" i="1"/>
  <c r="B102" i="1"/>
  <c r="B323" i="1"/>
  <c r="C233" i="1"/>
  <c r="C168" i="1"/>
  <c r="B163" i="1"/>
  <c r="B88" i="1"/>
  <c r="B344" i="1"/>
  <c r="B225" i="1"/>
  <c r="B106" i="1"/>
  <c r="B339" i="1"/>
  <c r="C249" i="1"/>
  <c r="C184" i="1"/>
  <c r="C78" i="1"/>
  <c r="C291" i="1"/>
  <c r="C81" i="1"/>
  <c r="C242" i="1"/>
  <c r="C32" i="1"/>
  <c r="C181" i="1"/>
  <c r="C326" i="1"/>
  <c r="C162" i="1"/>
  <c r="C54" i="1"/>
  <c r="C317" i="1"/>
  <c r="C115" i="1"/>
  <c r="C268" i="1"/>
  <c r="C66" i="1"/>
  <c r="C151" i="1"/>
  <c r="C112" i="1"/>
  <c r="C69" i="1"/>
  <c r="C86" i="1"/>
  <c r="C166" i="1"/>
  <c r="C349" i="1"/>
  <c r="C108" i="1"/>
  <c r="C290" i="1"/>
  <c r="C165" i="1"/>
  <c r="C141" i="1"/>
  <c r="C110" i="1"/>
  <c r="C67" i="1"/>
  <c r="C92" i="1"/>
  <c r="C49" i="1"/>
  <c r="C18" i="1"/>
  <c r="C39" i="1"/>
  <c r="C359" i="1"/>
  <c r="C320" i="1"/>
  <c r="C341" i="1"/>
  <c r="C45" i="1"/>
  <c r="C275" i="1"/>
  <c r="C16" i="1"/>
  <c r="C311" i="1"/>
  <c r="C216" i="1"/>
  <c r="C158" i="1"/>
  <c r="C307" i="1"/>
  <c r="C97" i="1"/>
  <c r="C258" i="1"/>
  <c r="C215" i="1"/>
  <c r="C176" i="1"/>
  <c r="C197" i="1"/>
  <c r="C150" i="1"/>
  <c r="C294" i="1"/>
  <c r="C254" i="1"/>
  <c r="C300" i="1"/>
  <c r="C119" i="1"/>
  <c r="C118" i="1"/>
  <c r="C205" i="1"/>
  <c r="C174" i="1"/>
  <c r="C195" i="1"/>
  <c r="C156" i="1"/>
  <c r="C113" i="1"/>
  <c r="C146" i="1"/>
  <c r="C103" i="1"/>
  <c r="C64" i="1"/>
  <c r="C85" i="1"/>
  <c r="C38" i="1"/>
  <c r="C285" i="1"/>
  <c r="C65" i="1"/>
  <c r="C208" i="1"/>
  <c r="B215" i="1"/>
  <c r="B21" i="1"/>
  <c r="B30" i="1"/>
  <c r="B286" i="1"/>
  <c r="C308" i="1"/>
  <c r="C239" i="1"/>
  <c r="B187" i="1"/>
  <c r="B112" i="1"/>
  <c r="B249" i="1"/>
  <c r="B130" i="1"/>
  <c r="C59" i="1"/>
  <c r="C345" i="1"/>
  <c r="B31" i="1"/>
  <c r="B287" i="1"/>
  <c r="B212" i="1"/>
  <c r="B93" i="1"/>
  <c r="B349" i="1"/>
  <c r="B230" i="1"/>
  <c r="C84" i="1"/>
  <c r="C15" i="1"/>
  <c r="B35" i="1"/>
  <c r="B291" i="1"/>
  <c r="B216" i="1"/>
  <c r="B97" i="1"/>
  <c r="B353" i="1"/>
  <c r="B234" i="1"/>
  <c r="C100" i="1"/>
  <c r="C31" i="1"/>
  <c r="C93" i="1"/>
  <c r="C35" i="1"/>
  <c r="C188" i="1"/>
  <c r="C337" i="1"/>
  <c r="C135" i="1"/>
  <c r="C288" i="1"/>
  <c r="C70" i="1"/>
  <c r="C236" i="1"/>
  <c r="C144" i="1"/>
  <c r="C344" i="1"/>
  <c r="C222" i="1"/>
  <c r="C12" i="1"/>
  <c r="C161" i="1"/>
  <c r="C322" i="1"/>
  <c r="C279" i="1"/>
  <c r="C304" i="1"/>
  <c r="C261" i="1"/>
  <c r="C214" i="1"/>
  <c r="C157" i="1"/>
  <c r="C19" i="1"/>
  <c r="C129" i="1"/>
  <c r="C80" i="1"/>
  <c r="C310" i="1"/>
  <c r="C269" i="1"/>
  <c r="C302" i="1"/>
  <c r="C259" i="1"/>
  <c r="C241" i="1"/>
  <c r="C167" i="1"/>
  <c r="C149" i="1"/>
  <c r="C190" i="1"/>
  <c r="C101" i="1"/>
  <c r="B12" i="1"/>
  <c r="B142" i="1"/>
  <c r="B43" i="1"/>
  <c r="B299" i="1"/>
  <c r="B105" i="1"/>
  <c r="B242" i="1"/>
  <c r="C132" i="1"/>
  <c r="B143" i="1"/>
  <c r="B324" i="1"/>
  <c r="B86" i="1"/>
  <c r="C169" i="1"/>
  <c r="C104" i="1"/>
  <c r="B72" i="1"/>
  <c r="B209" i="1"/>
  <c r="B90" i="1"/>
  <c r="C185" i="1"/>
  <c r="C14" i="1"/>
  <c r="C17" i="1"/>
  <c r="C327" i="1"/>
  <c r="C262" i="1"/>
  <c r="C229" i="1"/>
  <c r="C51" i="1"/>
  <c r="C353" i="1"/>
  <c r="C48" i="1"/>
  <c r="C325" i="1"/>
  <c r="C342" i="1"/>
  <c r="C147" i="1"/>
  <c r="C272" i="1"/>
  <c r="C46" i="1"/>
  <c r="C323" i="1"/>
  <c r="C305" i="1"/>
  <c r="C295" i="1"/>
  <c r="C213" i="1"/>
  <c r="C83" i="1"/>
  <c r="C182" i="1"/>
  <c r="B87" i="1"/>
  <c r="B268" i="1"/>
  <c r="B14" i="1"/>
  <c r="B270" i="1"/>
  <c r="C244" i="1"/>
  <c r="C175" i="1"/>
  <c r="B171" i="1"/>
  <c r="B96" i="1"/>
  <c r="B352" i="1"/>
  <c r="B233" i="1"/>
  <c r="B114" i="1"/>
  <c r="B2" i="1"/>
  <c r="C281" i="1"/>
  <c r="B15" i="1"/>
  <c r="B271" i="1"/>
  <c r="B196" i="1"/>
  <c r="B77" i="1"/>
  <c r="B333" i="1"/>
  <c r="B214" i="1"/>
  <c r="C20" i="1"/>
  <c r="C314" i="1"/>
  <c r="B19" i="1"/>
  <c r="B275" i="1"/>
  <c r="B200" i="1"/>
  <c r="B81" i="1"/>
  <c r="B337" i="1"/>
  <c r="B218" i="1"/>
  <c r="C36" i="1"/>
  <c r="C330" i="1"/>
  <c r="C328" i="1"/>
  <c r="C334" i="1"/>
  <c r="C124" i="1"/>
  <c r="C273" i="1"/>
  <c r="C71" i="1"/>
  <c r="C224" i="1"/>
  <c r="C6" i="1"/>
  <c r="C44" i="1"/>
  <c r="C220" i="1"/>
  <c r="C210" i="1"/>
  <c r="C192" i="1"/>
  <c r="C102" i="1"/>
  <c r="C321" i="1"/>
  <c r="B149" i="1"/>
  <c r="C107" i="1"/>
  <c r="C26" i="1"/>
  <c r="B224" i="1"/>
  <c r="C63" i="1"/>
  <c r="B68" i="1"/>
  <c r="B205" i="1"/>
  <c r="B342" i="1"/>
  <c r="B147" i="1"/>
  <c r="B328" i="1"/>
  <c r="B346" i="1"/>
  <c r="C120" i="1"/>
  <c r="C227" i="1"/>
  <c r="C178" i="1"/>
  <c r="C117" i="1"/>
  <c r="C34" i="1"/>
  <c r="C253" i="1"/>
  <c r="C204" i="1"/>
  <c r="C23" i="1"/>
  <c r="C5" i="1"/>
  <c r="C221" i="1"/>
  <c r="C98" i="1"/>
  <c r="C264" i="1"/>
  <c r="C3" i="1"/>
  <c r="C348" i="1"/>
  <c r="C274" i="1"/>
  <c r="C256" i="1"/>
  <c r="C358" i="1"/>
  <c r="C226" i="1"/>
  <c r="A165" i="1" l="1"/>
  <c r="A350" i="1"/>
  <c r="A247" i="1"/>
  <c r="A316" i="1"/>
  <c r="A144" i="1"/>
  <c r="A276" i="1"/>
  <c r="A246" i="1"/>
  <c r="A101" i="1"/>
  <c r="A129" i="1"/>
  <c r="A274" i="1"/>
  <c r="A344" i="1"/>
  <c r="A84" i="1"/>
  <c r="A189" i="1"/>
  <c r="A64" i="1"/>
  <c r="A348" i="1"/>
  <c r="A255" i="1"/>
  <c r="A261" i="1"/>
  <c r="A200" i="1"/>
  <c r="A43" i="1"/>
  <c r="A4" i="1"/>
  <c r="A62" i="1"/>
  <c r="A330" i="1"/>
  <c r="A237" i="1"/>
  <c r="A112" i="1"/>
  <c r="A19" i="1"/>
  <c r="A191" i="1"/>
  <c r="A197" i="1"/>
  <c r="A8" i="1"/>
  <c r="A196" i="1"/>
  <c r="A39" i="1"/>
  <c r="A33" i="1"/>
  <c r="A173" i="1"/>
  <c r="A48" i="1"/>
  <c r="A322" i="1"/>
  <c r="A238" i="1"/>
  <c r="A166" i="1"/>
  <c r="A265" i="1"/>
  <c r="A9" i="1"/>
  <c r="A140" i="1"/>
  <c r="A239" i="1"/>
  <c r="A146" i="1"/>
  <c r="A245" i="1"/>
  <c r="A345" i="1"/>
  <c r="A120" i="1"/>
  <c r="A219" i="1"/>
  <c r="A116" i="1"/>
  <c r="A215" i="1"/>
  <c r="A174" i="1"/>
  <c r="A273" i="1"/>
  <c r="A351" i="1"/>
  <c r="A122" i="1"/>
  <c r="A221" i="1"/>
  <c r="A352" i="1"/>
  <c r="A96" i="1"/>
  <c r="A195" i="1"/>
  <c r="A198" i="1"/>
  <c r="A292" i="1"/>
  <c r="A185" i="1"/>
  <c r="A154" i="1"/>
  <c r="A37" i="1"/>
  <c r="A178" i="1"/>
  <c r="A305" i="1"/>
  <c r="A249" i="1"/>
  <c r="A331" i="1"/>
  <c r="A333" i="1"/>
  <c r="A134" i="1"/>
  <c r="A114" i="1"/>
  <c r="A346" i="1"/>
  <c r="A287" i="1"/>
  <c r="A298" i="1"/>
  <c r="A25" i="1"/>
  <c r="A50" i="1"/>
  <c r="A251" i="1"/>
  <c r="A78" i="1"/>
  <c r="A253" i="1"/>
  <c r="A290" i="1"/>
  <c r="A118" i="1"/>
  <c r="A60" i="1"/>
  <c r="A168" i="1"/>
  <c r="A263" i="1"/>
  <c r="A170" i="1"/>
  <c r="A243" i="1"/>
  <c r="A262" i="1"/>
  <c r="A300" i="1"/>
  <c r="A21" i="1"/>
  <c r="A20" i="1"/>
  <c r="A49" i="1"/>
  <c r="A338" i="1"/>
  <c r="A150" i="1"/>
  <c r="A169" i="1"/>
  <c r="A124" i="1"/>
  <c r="A130" i="1"/>
  <c r="A203" i="1"/>
  <c r="A100" i="1"/>
  <c r="A158" i="1"/>
  <c r="A205" i="1"/>
  <c r="A80" i="1"/>
  <c r="A226" i="1"/>
  <c r="A2" i="1"/>
  <c r="A54" i="1"/>
  <c r="A57" i="1"/>
  <c r="A335" i="1"/>
  <c r="A341" i="1"/>
  <c r="A216" i="1"/>
  <c r="A59" i="1"/>
  <c r="A311" i="1"/>
  <c r="A14" i="1"/>
  <c r="A218" i="1"/>
  <c r="A61" i="1"/>
  <c r="A291" i="1"/>
  <c r="A220" i="1"/>
  <c r="A127" i="1"/>
  <c r="A133" i="1"/>
  <c r="A72" i="1"/>
  <c r="A231" i="1"/>
  <c r="A202" i="1"/>
  <c r="A109" i="1"/>
  <c r="A339" i="1"/>
  <c r="A284" i="1"/>
  <c r="A63" i="1"/>
  <c r="A5" i="1"/>
  <c r="A235" i="1"/>
  <c r="A68" i="1"/>
  <c r="A126" i="1"/>
  <c r="A266" i="1"/>
  <c r="A45" i="1"/>
  <c r="A275" i="1"/>
  <c r="A359" i="1"/>
  <c r="A358" i="1"/>
  <c r="A102" i="1"/>
  <c r="A201" i="1"/>
  <c r="A332" i="1"/>
  <c r="A76" i="1"/>
  <c r="A175" i="1"/>
  <c r="A82" i="1"/>
  <c r="A181" i="1"/>
  <c r="A312" i="1"/>
  <c r="A56" i="1"/>
  <c r="A155" i="1"/>
  <c r="A308" i="1"/>
  <c r="A52" i="1"/>
  <c r="A151" i="1"/>
  <c r="A110" i="1"/>
  <c r="A209" i="1"/>
  <c r="A314" i="1"/>
  <c r="A58" i="1"/>
  <c r="A157" i="1"/>
  <c r="A288" i="1"/>
  <c r="A32" i="1"/>
  <c r="A131" i="1"/>
  <c r="A188" i="1"/>
  <c r="A272" i="1"/>
  <c r="A152" i="1"/>
  <c r="A343" i="1"/>
  <c r="A65" i="1"/>
  <c r="A277" i="1"/>
  <c r="A318" i="1"/>
  <c r="A95" i="1"/>
  <c r="A71" i="1"/>
  <c r="A51" i="1"/>
  <c r="A108" i="1"/>
  <c r="A142" i="1"/>
  <c r="A22" i="1"/>
  <c r="A36" i="1"/>
  <c r="A342" i="1"/>
  <c r="A217" i="1"/>
  <c r="A40" i="1"/>
  <c r="A115" i="1"/>
  <c r="A172" i="1"/>
  <c r="A17" i="1"/>
  <c r="A177" i="1"/>
  <c r="A297" i="1"/>
  <c r="A31" i="1"/>
  <c r="A267" i="1"/>
  <c r="A7" i="1"/>
  <c r="A269" i="1"/>
  <c r="A354" i="1"/>
  <c r="A86" i="1"/>
  <c r="A44" i="1"/>
  <c r="A24" i="1"/>
  <c r="A119" i="1"/>
  <c r="A26" i="1"/>
  <c r="A99" i="1"/>
  <c r="A206" i="1"/>
  <c r="A70" i="1"/>
  <c r="A89" i="1"/>
  <c r="A232" i="1"/>
  <c r="A75" i="1"/>
  <c r="A327" i="1"/>
  <c r="A30" i="1"/>
  <c r="A234" i="1"/>
  <c r="A77" i="1"/>
  <c r="A307" i="1"/>
  <c r="A258" i="1"/>
  <c r="A310" i="1"/>
  <c r="A313" i="1"/>
  <c r="A207" i="1"/>
  <c r="A213" i="1"/>
  <c r="A88" i="1"/>
  <c r="A340" i="1"/>
  <c r="A183" i="1"/>
  <c r="A241" i="1"/>
  <c r="A90" i="1"/>
  <c r="A320" i="1"/>
  <c r="A163" i="1"/>
  <c r="A156" i="1"/>
  <c r="A162" i="1"/>
  <c r="A69" i="1"/>
  <c r="A299" i="1"/>
  <c r="A260" i="1"/>
  <c r="A103" i="1"/>
  <c r="A225" i="1"/>
  <c r="A74" i="1"/>
  <c r="A211" i="1"/>
  <c r="A92" i="1"/>
  <c r="A98" i="1"/>
  <c r="A264" i="1"/>
  <c r="A107" i="1"/>
  <c r="A295" i="1"/>
  <c r="A289" i="1"/>
  <c r="A138" i="1"/>
  <c r="A304" i="1"/>
  <c r="A83" i="1"/>
  <c r="A254" i="1"/>
  <c r="A294" i="1"/>
  <c r="A38" i="1"/>
  <c r="A137" i="1"/>
  <c r="A268" i="1"/>
  <c r="A12" i="1"/>
  <c r="A111" i="1"/>
  <c r="A18" i="1"/>
  <c r="A117" i="1"/>
  <c r="A248" i="1"/>
  <c r="A355" i="1"/>
  <c r="A91" i="1"/>
  <c r="A244" i="1"/>
  <c r="A347" i="1"/>
  <c r="A87" i="1"/>
  <c r="A46" i="1"/>
  <c r="A145" i="1"/>
  <c r="A250" i="1"/>
  <c r="A357" i="1"/>
  <c r="A93" i="1"/>
  <c r="A224" i="1"/>
  <c r="A323" i="1"/>
  <c r="A67" i="1"/>
  <c r="A193" i="1"/>
  <c r="A143" i="1"/>
  <c r="A227" i="1"/>
  <c r="A164" i="1"/>
  <c r="A105" i="1"/>
  <c r="A256" i="1"/>
  <c r="A252" i="1"/>
  <c r="A228" i="1"/>
  <c r="A208" i="1"/>
  <c r="A153" i="1"/>
  <c r="A187" i="1"/>
  <c r="A210" i="1"/>
  <c r="A296" i="1"/>
  <c r="A16" i="1"/>
  <c r="A242" i="1"/>
  <c r="A159" i="1"/>
  <c r="A135" i="1"/>
  <c r="A42" i="1"/>
  <c r="A182" i="1"/>
  <c r="A149" i="1"/>
  <c r="A278" i="1"/>
  <c r="A41" i="1"/>
  <c r="A66" i="1"/>
  <c r="A139" i="1"/>
  <c r="A94" i="1"/>
  <c r="A141" i="1"/>
  <c r="A334" i="1"/>
  <c r="A6" i="1"/>
  <c r="A271" i="1"/>
  <c r="A280" i="1"/>
  <c r="A148" i="1"/>
  <c r="A282" i="1"/>
  <c r="A128" i="1"/>
  <c r="A194" i="1"/>
  <c r="A121" i="1"/>
  <c r="A293" i="1"/>
  <c r="A11" i="1"/>
  <c r="A321" i="1"/>
  <c r="A13" i="1"/>
  <c r="A281" i="1"/>
  <c r="A15" i="1"/>
  <c r="A123" i="1"/>
  <c r="A222" i="1"/>
  <c r="A125" i="1"/>
  <c r="A302" i="1"/>
  <c r="A326" i="1"/>
  <c r="A349" i="1"/>
  <c r="A353" i="1"/>
  <c r="A223" i="1"/>
  <c r="A229" i="1"/>
  <c r="A104" i="1"/>
  <c r="A356" i="1"/>
  <c r="A199" i="1"/>
  <c r="A257" i="1"/>
  <c r="A106" i="1"/>
  <c r="A336" i="1"/>
  <c r="A179" i="1"/>
  <c r="A286" i="1"/>
  <c r="A214" i="1"/>
  <c r="A233" i="1"/>
  <c r="A236" i="1"/>
  <c r="A79" i="1"/>
  <c r="A85" i="1"/>
  <c r="A315" i="1"/>
  <c r="A212" i="1"/>
  <c r="A55" i="1"/>
  <c r="A113" i="1"/>
  <c r="A317" i="1"/>
  <c r="A192" i="1"/>
  <c r="A35" i="1"/>
  <c r="A28" i="1"/>
  <c r="A34" i="1"/>
  <c r="A328" i="1"/>
  <c r="A171" i="1"/>
  <c r="A132" i="1"/>
  <c r="A190" i="1"/>
  <c r="A97" i="1"/>
  <c r="A301" i="1"/>
  <c r="A240" i="1"/>
  <c r="A147" i="1"/>
  <c r="A319" i="1"/>
  <c r="A325" i="1"/>
  <c r="A136" i="1"/>
  <c r="A324" i="1"/>
  <c r="A167" i="1"/>
  <c r="A161" i="1"/>
  <c r="A10" i="1"/>
  <c r="A176" i="1"/>
  <c r="A270" i="1"/>
  <c r="A306" i="1"/>
  <c r="A230" i="1"/>
  <c r="A329" i="1"/>
  <c r="A73" i="1"/>
  <c r="A204" i="1"/>
  <c r="A303" i="1"/>
  <c r="A47" i="1"/>
  <c r="A309" i="1"/>
  <c r="A53" i="1"/>
  <c r="A184" i="1"/>
  <c r="A283" i="1"/>
  <c r="A27" i="1"/>
  <c r="A180" i="1"/>
  <c r="A279" i="1"/>
  <c r="A23" i="1"/>
  <c r="A337" i="1"/>
  <c r="A81" i="1"/>
  <c r="A186" i="1"/>
  <c r="A285" i="1"/>
  <c r="A29" i="1"/>
  <c r="A160" i="1"/>
  <c r="A259" i="1"/>
  <c r="A3" i="1"/>
</calcChain>
</file>

<file path=xl/sharedStrings.xml><?xml version="1.0" encoding="utf-8"?>
<sst xmlns="http://schemas.openxmlformats.org/spreadsheetml/2006/main" count="3316" uniqueCount="796">
  <si>
    <t>(S15) - Matteo Maximin - CB,TPE: 50, http://nsfl.jcink.net/index.php?showtopic=12198,</t>
  </si>
  <si>
    <t>(S15) - Paul DiMirio III - K/P,TPE: 50, http://nsfl.jcink.net/index.php?showtopic=12009,</t>
  </si>
  <si>
    <t>(S15) - Ronald St. James III - RB,TPE: 50, http://nsfl.jcink.net/index.php?showtopic=12223,</t>
  </si>
  <si>
    <t>(S15) - Proy Tolamalu  - S,TPE: 50, http://nsfl.jcink.net/index.php?showtopic=12226,</t>
  </si>
  <si>
    <t>(S15) - Mick Moekr - DE,TPE: 50, http://nsfl.jcink.net/index.php?showtopic=12311,</t>
  </si>
  <si>
    <t>(S15) - Buddha Lebowski - LB,TPE: 50, http://nsfl.jcink.net/index.php?showtopic=12206,</t>
  </si>
  <si>
    <t>(S15) - Christopher Loren - CB,TPE: 50, http://nsfl.jcink.net/index.php?showtopic=12091,</t>
  </si>
  <si>
    <t>(S15) - Brayden Larosee - S,TPE: 50, http://nsfl.jcink.net/index.php?showtopic=11990,</t>
  </si>
  <si>
    <t>(S14) - Cody Kupp - S,TPE: 57, http://nsfl.jcink.net/index.php?showtopic=11768,</t>
  </si>
  <si>
    <t>(S14) - Cam Poole - S,TPE: 57, http://nsfl.jcink.net/index.php?showtopic=11742,</t>
  </si>
  <si>
    <t>(S14) - Žak Korošec - K/P,TPE: 50, http://nsfl.jcink.net/index.php?showtopic=11604,</t>
  </si>
  <si>
    <t>(S13) - Rembrandt Khalil-Bugatti - DT,TPE: 63, http://nsfl.jcink.net/index.php?showtopic=11444,</t>
  </si>
  <si>
    <t>(S13) - J.N. Nova - WR,TPE: 108, http://nsfl.jcink.net/index.php?showtopic=11406,</t>
  </si>
  <si>
    <t>(S12) - Stayve Jerome Thomas - DE,TPE: 135, http://nsfl.jcink.net/index.php?showtopic=11032,</t>
  </si>
  <si>
    <t>(S12) - James Wade - RB,TPE: 57, http://nsfl.jcink.net/index.php?showtopic=10911,</t>
  </si>
  <si>
    <t>(S12) - Derek Bohne - S,TPE: 187, http://nsfl.jcink.net/index.php?showtopic=10449,</t>
  </si>
  <si>
    <t>(S11) - Ace Boogie Jr. - CB,TPE: 62, http://nsfl.jcink.net/index.php?showtopic=10446,</t>
  </si>
  <si>
    <t>(S10) - Jake Verden - CB,TPE: 138, http://nsfl.jcink.net/index.php?showtopic=9637,</t>
  </si>
  <si>
    <t>(S15) - John Tebow - QB,TPE: 50, http://nsfl.jcink.net/index.php?showtopic=12526,</t>
  </si>
  <si>
    <t>(S15) - D'Angelo Thompson - S,TPE: 50, http://nsfl.jcink.net/index.php?showtopic=12299,</t>
  </si>
  <si>
    <t>(S15) - Poster Nutbag - DT,TPE: 50, http://nsfl.jcink.net/index.php?showtopic=12154,</t>
  </si>
  <si>
    <t>(S15) - Luke South - TE,TPE: 50, http://nsfl.jcink.net/index.php?showtopic=12153,</t>
  </si>
  <si>
    <t>(S15) - Jameis Harrison - LB,TPE: 50, http://nsfl.jcink.net/index.php?showtopic=12417,</t>
  </si>
  <si>
    <t>(S15) - Khalil Sack - DE,TPE: 50, http://nsfl.jcink.net/index.php?showtopic=12275,</t>
  </si>
  <si>
    <t>(S15) - Thad Castle -  LB,TPE: 50, http://nsfl.jcink.net/index.php?showtopic=12257,</t>
  </si>
  <si>
    <t>(S15) - Gimmy Jaroppolo - QB,TPE: 50, http://nsfl.jcink.net/index.php?showtopic=12140,</t>
  </si>
  <si>
    <t>(S15) - André Thornton - WR,TPE: 50, http://nsfl.jcink.net/index.php?showtopic=11988,</t>
  </si>
  <si>
    <t>(S15) - Pablo Sanchez - LB,TPE: 50, http://nsfl.jcink.net/index.php?showtopic=12493,</t>
  </si>
  <si>
    <t>(S15) - Gregor Clegaine - OL,TPE: 50, http://nsfl.jcink.net/index.php?showtopic=12204,</t>
  </si>
  <si>
    <t>(S15) - Taters Johnson - CB,TPE: 50, http://nsfl.jcink.net/index.php?showtopic=12180,</t>
  </si>
  <si>
    <t>(S15) - Justin Tyme - LB,TPE: 50, http://nsfl.jcink.net/index.php?showtopic=12168,</t>
  </si>
  <si>
    <t>(S14) - Adam Hardin - QB,TPE: 55, http://nsfl.jcink.net/index.php?showtopic=11755,</t>
  </si>
  <si>
    <t>(S14) - Ricky Enbalse - LB,TPE: 50, http://nsfl.jcink.net/index.php?showtopic=11738,</t>
  </si>
  <si>
    <t>(S14) - Stanley Marshall - CB,TPE: 50, http://nsfl.jcink.net/index.php?showtopic=11615,</t>
  </si>
  <si>
    <t>(S12) - Roman Stakowski - TE,TPE: 227, http://nsfl.jcink.net/index.php?showtopic=10886,</t>
  </si>
  <si>
    <t>(S12) - Grayson Wayne - S,TPE: 50, http://nsfl.jcink.net/index.php?showtopic=10806,</t>
  </si>
  <si>
    <t>(S12) - Beauregard Smallwood-Chess - RB,TPE: 136, http://nsfl.jcink.net/index.php?showtopic=10741,</t>
  </si>
  <si>
    <t>(S12) - Roderick Castleberry - K/P,TPE: 95, http://nsfl.jcink.net/index.php?showtopic=10470,</t>
  </si>
  <si>
    <t>(S15) - Lawalin Tae'orr - LB,TPE: 50, http://nsfl.jcink.net/index.php?showtopic=12381,</t>
  </si>
  <si>
    <t>(S15) - Memphis Wilkerson - DE,TPE: 50, http://nsfl.jcink.net/index.php?showtopic=12276,</t>
  </si>
  <si>
    <t>(S15) - Neon Demon - CB,TPE: 50, http://nsfl.jcink.net/index.php?showtopic=12144,</t>
  </si>
  <si>
    <t>(S15) - Shaquill &amp;quot;The Thrill&amp;quot; Williams VII - S,TPE: 64, http://nsfl.jcink.net/index.php?showtopic=12034,</t>
  </si>
  <si>
    <t>(S14) - Buchanan Simons - CB,TPE: 50, http://nsfl.jcink.net/index.php?showtopic=11947,</t>
  </si>
  <si>
    <t>(S14) - Thad Castle - LB,TPE: 55, http://nsfl.jcink.net/index.php?showtopic=11775,</t>
  </si>
  <si>
    <t>(S14) - James Andrews - DE,TPE: 50, http://nsfl.jcink.net/index.php?showtopic=11764,</t>
  </si>
  <si>
    <t>(S14) - Drew Maddox - WR,TPE: 79, http://nsfl.jcink.net/index.php?showtopic=11747,</t>
  </si>
  <si>
    <t>(S12) - Jon Gott - LB,TPE: 148, http://nsfl.jcink.net/index.php?showtopic=10973,</t>
  </si>
  <si>
    <t>(S11) - Spencer Lawes - K/P,TPE: 110, http://nsfl.jcink.net/index.php?showtopic=10390,</t>
  </si>
  <si>
    <t>(S11) - Clark Kent - LB,TPE: 81, http://nsfl.jcink.net/index.php?showtopic=10046,</t>
  </si>
  <si>
    <t>(S15) - Luca Ramero - WR,TPE: 50, http://nsfl.jcink.net/index.php?showtopic=12688,</t>
  </si>
  <si>
    <t>(S15) - Trey Moffat - RB,TPE: 50, http://nsfl.jcink.net/index.php?showtopic=12127,</t>
  </si>
  <si>
    <t>(S15) - Troy Bryant - CB,TPE: 57, http://nsfl.jcink.net/index.php?showtopic=12022,</t>
  </si>
  <si>
    <t>(S14) - Dingus Hunk - DT,TPE: 82, http://nsfl.jcink.net/index.php?showtopic=11785,</t>
  </si>
  <si>
    <t>(S14) - Brett Tacony - WR,TPE: 57, http://nsfl.jcink.net/index.php?showtopic=11735,</t>
  </si>
  <si>
    <t>(S14) - Stephen Harris Jr - K/P,TPE: 131, http://nsfl.jcink.net/index.php?showtopic=11652,</t>
  </si>
  <si>
    <t>(S13) - Kyle Frost - K/P,TPE: 74, http://nsfl.jcink.net/index.php?showtopic=11500,</t>
  </si>
  <si>
    <t>(S13) - Dick Cheese Jr. - LB,TPE: 99, http://nsfl.jcink.net/index.php?showtopic=11150,</t>
  </si>
  <si>
    <t>(S12) - CJ Henderson - CB,TPE: 81, http://nsfl.jcink.net/index.php?showtopic=10787,</t>
  </si>
  <si>
    <t>(S12) - Daniel Amon - QB,TPE: 61, http://nsfl.jcink.net/index.php?showtopic=10632,</t>
  </si>
  <si>
    <t>(S12) - Thomas Nova - WR,TPE: 50, http://nsfl.jcink.net/index.php?showtopic=10617,</t>
  </si>
  <si>
    <t>(S12) - Thomas Clark - DT,TPE: 125, http://nsfl.jcink.net/index.php?showtopic=10454,</t>
  </si>
  <si>
    <t>(S11) - Zoro Roronoa - RB,TPE: 168, http://nsfl.jcink.net/index.php?showtopic=10182,</t>
  </si>
  <si>
    <t>(S11) - Berrell Trister - WR,TPE: 67, http://nsfl.jcink.net/index.php?showtopic=10072,</t>
  </si>
  <si>
    <t>(S10) - Lanoi Arnold - DT,TPE: 50, http://nsfl.jcink.net/index.php?showtopic=9730,</t>
  </si>
  <si>
    <t>(S10) - Tanner Hendrix - WR,TPE: 90, http://nsfl.jcink.net/index.php?showtopic=9325,</t>
  </si>
  <si>
    <t>(S10) - Con Nair - CB,TPE: 50, http://nsfl.jcink.net/index.php?showtopic=9228,</t>
  </si>
  <si>
    <t>(S14) - Ma Goomba - OL,TPE: 57, http://nsfl.jcink.net/index.php?showtopic=11739,</t>
  </si>
  <si>
    <t>(S13) - Jaren Haden - LB,TPE: 69, http://nsfl.jcink.net/index.php?showtopic=11074,</t>
  </si>
  <si>
    <t>(S13) - Jordan McCann - DT,TPE: 52, http://nsfl.jcink.net/index.php?showtopic=11043,</t>
  </si>
  <si>
    <t>(S12) - Cole Walker - DE,TPE: 99, http://nsfl.jcink.net/index.php?showtopic=10765,</t>
  </si>
  <si>
    <t>(S12) - Sam Hardwick - WR,TPE: 396, http://nsfl.jcink.net/index.php?showtopic=10466,</t>
  </si>
  <si>
    <t>(S11) - Harvey Kindle - WR,TPE: 172, http://nsfl.jcink.net/index.php?showtopic=10118,</t>
  </si>
  <si>
    <t>(S11) - Steven Moore - TE,TPE: 316, http://nsfl.jcink.net/index.php?showtopic=10062,</t>
  </si>
  <si>
    <t>(S10) - A.J. Robertson - LB,TPE: 249, http://nsfl.jcink.net/index.php?showtopic=9815,</t>
  </si>
  <si>
    <t>(S10) - Emilia Rudd - TE,TPE: 153, http://nsfl.jcink.net/index.php?showtopic=9469,</t>
  </si>
  <si>
    <t>(S10) - Shannon Hobbs - S,TPE: 334, http://nsfl.jcink.net/index.php?showtopic=9349,</t>
  </si>
  <si>
    <t>(S10) - Felix Hasselhoff - WR,TPE: 338, http://nsfl.jcink.net/index.php?showtopic=9243,</t>
  </si>
  <si>
    <t>(S9) - John Springfield - S,TPE: 57, http://nsfl.jcink.net/index.php?showtopic=9117,</t>
  </si>
  <si>
    <t>(S9) - Tyler Griffin - LB,TPE: 86, http://nsfl.jcink.net/index.php?showtopic=8796,</t>
  </si>
  <si>
    <t>(S9) - Jai Turner - WR,TPE: 76, http://nsfl.jcink.net/index.php?showtopic=8627,</t>
  </si>
  <si>
    <t>(S8) - Hammer Jack - CB,TPE: 73, http://nsfl.jcink.net/index.php?showtopic=8209,</t>
  </si>
  <si>
    <t>(S8) - Fonz Nuno - DE,TPE: 67, http://nsfl.jcink.net/index.php?showtopic=8230,</t>
  </si>
  <si>
    <t>(S6) - Borro Gore - RB,TPE: 150, http://nsfl.jcink.net/index.php?showtopic=6978,</t>
  </si>
  <si>
    <t>(S6) - Norman Bagwell - DE,TPE: 201, http://nsfl.jcink.net/index.php?showtopic=6214,</t>
  </si>
  <si>
    <t>(S5) - Dean Jackson - K/P,TPE: 686, http://nsfl.jcink.net/index.php?showtopic=5481,</t>
  </si>
  <si>
    <t>(S3) - Trey Willie - WR,TPE: 243, http://nsfl.jcink.net/index.php?showtopic=2894,</t>
  </si>
  <si>
    <t>(S13) - Corey Trevor - RB,TPE: 190, http://nsfl.jcink.net/index.php?showtopic=11114,</t>
  </si>
  <si>
    <t>(S13) - Alex Frost - K/P,TPE: 141, http://nsfl.jcink.net/index.php?showtopic=11163,</t>
  </si>
  <si>
    <t>(S12) - Arbin Asipi III - CB,TPE: 491, http://nsfl.jcink.net/index.php?showtopic=10598,</t>
  </si>
  <si>
    <t>(S11) - Yulic Nagasawa - WR,TPE: 500, http://nsfl.jcink.net/index.php?showtopic=10024,</t>
  </si>
  <si>
    <t>(S10) - Steven Oats - S,TPE: 395, http://nsfl.jcink.net/index.php?showtopic=9412,</t>
  </si>
  <si>
    <t>(S10) - Achilles Hondo - CB,TPE: 685, http://nsfl.jcink.net/index.php?showtopic=9347,</t>
  </si>
  <si>
    <t>(S9) - Declan Harp - TE,TPE: 740, http://nsfl.jcink.net/index.php?showtopic=8580,</t>
  </si>
  <si>
    <t>(S5) - Gregory Fletcher - CB,TPE: 229, http://nsfl.jcink.net/index.php?showtopic=5358,</t>
  </si>
  <si>
    <t>(S5) - Andre Bly Jr. - CB,TPE: 410, http://nsfl.jcink.net/index.php?showtopic=5130,</t>
  </si>
  <si>
    <t>(S12) - Joey Sachs - DE,TPE: 162, http://nsfl.jcink.net/index.php?showtopic=10967,</t>
  </si>
  <si>
    <t>(S12) - Soupy McBrain - LB,TPE: 155, http://nsfl.jcink.net/index.php?showtopic=10834,</t>
  </si>
  <si>
    <t>(S12) - Jonathan Towers - S,TPE: 182, http://nsfl.jcink.net/index.php?showtopic=10712,</t>
  </si>
  <si>
    <t>(S12) - Sam Garrad - DT,TPE: 249, http://nsfl.jcink.net/index.php?showtopic=10550,</t>
  </si>
  <si>
    <t>(S10) - Odell Marrett - DE,TPE: 97, http://nsfl.jcink.net/index.php?showtopic=9401,</t>
  </si>
  <si>
    <t>(S9) - Oskar Ludvig - CB,TPE: 130, http://nsfl.jcink.net/index.php?showtopic=9037,</t>
  </si>
  <si>
    <t>(S9) - ShaDarrien LaMelllana - WR,TPE: 259, http://nsfl.jcink.net/index.php?showtopic=8653,</t>
  </si>
  <si>
    <t>(S7) - Mark Grau - RB,TPE: 339, http://nsfl.jcink.net/index.php?showtopic=7561,</t>
  </si>
  <si>
    <t>(S7) - Alvin Chipmunk - TE,TPE: 161, http://nsfl.jcink.net/index.php?showtopic=7263,</t>
  </si>
  <si>
    <t>(S7) - Howard Miller - WR,TPE: 984, http://nsfl.jcink.net/index.php?showtopic=7221,</t>
  </si>
  <si>
    <t>(S6) - Brian Mills - LB,TPE: 579, http://nsfl.jcink.net/index.php?showtopic=6405,</t>
  </si>
  <si>
    <t>(S5) - Michael Tillman - S,TPE: 238, http://nsfl.jcink.net/index.php?showtopic=5621,</t>
  </si>
  <si>
    <t>(S4) - Haruki Ishigawa - DE,TPE: 224, http://nsfl.jcink.net/index.php?showtopic=4656,</t>
  </si>
  <si>
    <t>(S13) - Harvey Danger - TE,TPE: 67, http://nsfl.jcink.net/index.php?showtopic=11075,</t>
  </si>
  <si>
    <t>(S12) - Shane Trigg - DT,TPE: 50, http://nsfl.jcink.net/index.php?showtopic=10984,</t>
  </si>
  <si>
    <t>(S11) - Blake Bishop - QB,TPE: 50, http://nsfl.jcink.net/index.php?showtopic=9836,</t>
  </si>
  <si>
    <t>(S10) - Augustin LaDande - WR,TPE: 50, http://nsfl.jcink.net/index.php?showtopic=9738,</t>
  </si>
  <si>
    <t>(S10) - Ray Slick - LB,TPE: 57, http://nsfl.jcink.net/index.php?showtopic=9726,</t>
  </si>
  <si>
    <t>(S10) - Adam Krossman - RB,TPE: 76, http://nsfl.jcink.net/index.php?showtopic=9540,</t>
  </si>
  <si>
    <t>(S10) - Ricky Flores - RB,TPE: 90, http://nsfl.jcink.net/index.php?showtopic=9504,</t>
  </si>
  <si>
    <t>(S10) - Zenyou Wozy - QB,TPE: 358, http://nsfl.jcink.net/index.php?showtopic=9364,</t>
  </si>
  <si>
    <t>(S10) - Taylor Peterson - WR,TPE: 108, http://nsfl.jcink.net/index.php?showtopic=9321,</t>
  </si>
  <si>
    <t>(S9) - Deion Jackson - WR,TPE: 57, http://nsfl.jcink.net/index.php?showtopic=9132,</t>
  </si>
  <si>
    <t>(S9) - Fin Jameson - LB,TPE: 57, http://nsfl.jcink.net/index.php?showtopic=9110,</t>
  </si>
  <si>
    <t>(S9) - Andreas Metaxas - QB,TPE: 381, http://nsfl.jcink.net/index.php?showtopic=9076,</t>
  </si>
  <si>
    <t>(S9) - Robert Jordan - LB,TPE: 60, http://nsfl.jcink.net/index.php?showtopic=8859,</t>
  </si>
  <si>
    <t>(S9) - LaMarcus Strike - RB,TPE: 169, http://nsfl.jcink.net/index.php?showtopic=8857,</t>
  </si>
  <si>
    <t>(S9) - Alsan Arshad - WR,TPE: 71, http://nsfl.jcink.net/index.php?showtopic=8693,</t>
  </si>
  <si>
    <t>(S9) - Emilio Ramero - K/P,TPE: 116, http://nsfl.jcink.net/index.php?showtopic=8634,</t>
  </si>
  <si>
    <t>(S9) - Daquan Richardson - CB,TPE: 77, http://nsfl.jcink.net/index.php?showtopic=8626,</t>
  </si>
  <si>
    <t>(S9) - Deangelo Warren - WR,TPE: 50, http://nsfl.jcink.net/index.php?showtopic=8613,</t>
  </si>
  <si>
    <t>(S8) - Klaus DerFisch - K/P,TPE: 54, http://nsfl.jcink.net/index.php?showtopic=8344,</t>
  </si>
  <si>
    <t>(S8) - Vance Sachs - DE,TPE: 81, http://nsfl.jcink.net/index.php?showtopic=8297,</t>
  </si>
  <si>
    <t>(S8) - Seth Wallace - RB,TPE: 50, http://nsfl.jcink.net/index.php?showtopic=8256,</t>
  </si>
  <si>
    <t>(S8) - Harry Balzac - S,TPE: 50, http://nsfl.jcink.net/index.php?showtopic=8249,</t>
  </si>
  <si>
    <t>(S8) - D.J. Riddick - RB,TPE: 124, http://nsfl.jcink.net/index.php?showtopic=8231,</t>
  </si>
  <si>
    <t>(S8) - Justin Davis - K/P,TPE: 55, http://nsfl.jcink.net/index.php?showtopic=8151,</t>
  </si>
  <si>
    <t>(S12) - Rylant Wright - WR,TPE: 167, http://nsfl.jcink.net/index.php?showtopic=10941,</t>
  </si>
  <si>
    <t>(S12) - Aksel Danielsson - RB,TPE: 412, http://nsfl.jcink.net/index.php?showtopic=10476,</t>
  </si>
  <si>
    <t>(S11) - Gordon Ramsey Jr. - CB,TPE: 213, http://nsfl.jcink.net/index.php?showtopic=10133,</t>
  </si>
  <si>
    <t>(S11) - Franklin Townsend - DT,TPE: 94, http://nsfl.jcink.net/index.php?showtopic=10048,</t>
  </si>
  <si>
    <t>(S11) - Thjalfi Halvorsen - WR,TPE: 212, http://nsfl.jcink.net/index.php?showtopic=9846,</t>
  </si>
  <si>
    <t>(S10) - Damien Arnold - S,TPE: 279, http://nsfl.jcink.net/index.php?showtopic=9461,</t>
  </si>
  <si>
    <t>(S9) - Jesse Marchand - LB,TPE: 250, http://nsfl.jcink.net/index.php?showtopic=8932,</t>
  </si>
  <si>
    <t>(S9) - Barnaby Earl - LB,TPE: 214, http://nsfl.jcink.net/index.php?showtopic=8797,</t>
  </si>
  <si>
    <t>(S8) - Beat Meoff - K,TPE: 170, http://nsfl.jcink.net/index.php?showtopic=7941,</t>
  </si>
  <si>
    <t>(S6) - Borkus Maximus III - QB,TPE: 901, http://nsfl.jcink.net/index.php?showtopic=6596,</t>
  </si>
  <si>
    <t>(S12) - Tommy Salami - DE,TPE: 216, http://nsfl.jcink.net/index.php?showtopic=10982,</t>
  </si>
  <si>
    <t>(S11) - Jonathan Rice - CB,TPE: 421, http://nsfl.jcink.net/index.php?showtopic=10206,</t>
  </si>
  <si>
    <t>(S10) - Adam Anderson - K/P,TPE: 140, http://nsfl.jcink.net/index.php?showtopic=9776,</t>
  </si>
  <si>
    <t>(S10) - Seer Zephyrous - RB,TPE: 382, http://nsfl.jcink.net/index.php?showtopic=9741,</t>
  </si>
  <si>
    <t>(S9) - Young Spaghetti - DE,TPE: 110, http://nsfl.jcink.net/index.php?showtopic=8552,</t>
  </si>
  <si>
    <t>(S8) - Rickey Ramero - DE,TPE: 551, http://nsfl.jcink.net/index.php?showtopic=7834,</t>
  </si>
  <si>
    <t>(S6) - Jaylon Broxton - S,TPE: 894, http://nsfl.jcink.net/index.php?showtopic=6550,</t>
  </si>
  <si>
    <t>(S6) - Glenn McPoyal - TE,TPE: 336, http://nsfl.jcink.net/index.php?showtopic=6250,</t>
  </si>
  <si>
    <t>(S13) - Corwin Davenport - RB,TPE: 155, http://nsfl.jcink.net/index.php?showtopic=11533,</t>
  </si>
  <si>
    <t>(S13) - Chris Steele - CB,TPE: 142, http://nsfl.jcink.net/index.php?showtopic=11408,</t>
  </si>
  <si>
    <t>(S12) - Luke Smyles - DE,TPE: 414, http://nsfl.jcink.net/index.php?showtopic=10638,</t>
  </si>
  <si>
    <t>(S12) - Ikaika Kalilimoku - DE,TPE: 228, http://nsfl.jcink.net/index.php?showtopic=10529,</t>
  </si>
  <si>
    <t>(S11) - Johnson Cox III - CB,TPE: 258, http://nsfl.jcink.net/index.php?showtopic=10354,</t>
  </si>
  <si>
    <t>(S11) - Roger Batoff - WR,TPE: 386, http://nsfl.jcink.net/index.php?showtopic=10256,</t>
  </si>
  <si>
    <t>(S11) - Curtis Saul - DT,TPE: 453, http://nsfl.jcink.net/index.php?showtopic=10121,</t>
  </si>
  <si>
    <t>(S11) - Lennox Garnett - S,TPE: 800, http://nsfl.jcink.net/index.php?showtopic=10004,</t>
  </si>
  <si>
    <t>(S10) - Ryland Morley - DE,TPE: 90, http://nsfl.jcink.net/index.php?showtopic=9406,</t>
  </si>
  <si>
    <t>(S10) - Lucari Felix - CB,TPE: 468, http://nsfl.jcink.net/index.php?showtopic=9229,</t>
  </si>
  <si>
    <t>(S6) - Carter Bush - WR,TPE: 501, http://nsfl.jcink.net/index.php?showtopic=6687,</t>
  </si>
  <si>
    <t>(S13) - Spencer Castle - CB,TPE: 383, http://nsfl.jcink.net/index.php?showtopic=11274,</t>
  </si>
  <si>
    <t>(S12) - Ja'brill Tuck - DE,TPE: 273, http://nsfl.jcink.net/index.php?showtopic=11050,</t>
  </si>
  <si>
    <t>(S12) - Neo Donaldson - K/P,TPE: 257, http://nsfl.jcink.net/index.php?showtopic=11045,</t>
  </si>
  <si>
    <t>(S12) - Ronnie Williams - TE,TPE: 124, http://nsfl.jcink.net/index.php?showtopic=10732,</t>
  </si>
  <si>
    <t>(S11) - Ty Justice - WR,TPE: 284, http://nsfl.jcink.net/index.php?showtopic=10134,</t>
  </si>
  <si>
    <t>(S11) - Danny Methane - DE,TPE: 216, http://nsfl.jcink.net/index.php?showtopic=10052,</t>
  </si>
  <si>
    <t>(S10) - Chris Orosz - RB,TPE: 461, http://nsfl.jcink.net/index.php?showtopic=9383,</t>
  </si>
  <si>
    <t>(S9) - Zapp Brannigan - TE,TPE: 581, http://nsfl.jcink.net/index.php?showtopic=8551,</t>
  </si>
  <si>
    <t>(S12) - Pecker Cox - DT,TPE: 126, http://nsfl.jcink.net/index.php?showtopic=11027,</t>
  </si>
  <si>
    <t>(S12) - Jeff Jefferson IV - S,TPE: 182, http://nsfl.jcink.net/index.php?showtopic=10738,</t>
  </si>
  <si>
    <t>(S11) - Thomas Carrasco - RB,TPE: 177, http://nsfl.jcink.net/index.php?showtopic=10402,</t>
  </si>
  <si>
    <t>(S11) - Will Foster - DT,TPE: 271, http://nsfl.jcink.net/index.php?showtopic=10136,</t>
  </si>
  <si>
    <t>(S11) - Bobson Dugnutt - CB,TPE: 345, http://nsfl.jcink.net/index.php?showtopic=10092,</t>
  </si>
  <si>
    <t>(S11) - Adrian Pitcher - TE,TPE: 176, http://nsfl.jcink.net/index.php?showtopic=9830,</t>
  </si>
  <si>
    <t>(S8) - Ramadan Steve - DT,TPE: 152, http://nsfl.jcink.net/index.php?showtopic=8030,</t>
  </si>
  <si>
    <t>(S8) - Brad Pennington - WR,TPE: 688, http://nsfl.jcink.net/index.php?showtopic=8034,</t>
  </si>
  <si>
    <t>(S6) - Forfeit - K/P,TPE: 197, http://nsfl.jcink.net/index.php?showtopic=6578,</t>
  </si>
  <si>
    <t>(S5) - Cameron Taylor - S,TPE: 620, http://nsfl.jcink.net/index.php?showtopic=5347,</t>
  </si>
  <si>
    <t>ID</t>
  </si>
  <si>
    <t>Drafted</t>
  </si>
  <si>
    <t>Team</t>
  </si>
  <si>
    <t>Name</t>
  </si>
  <si>
    <t>Position</t>
  </si>
  <si>
    <t>TPE</t>
  </si>
  <si>
    <t>Line</t>
  </si>
  <si>
    <t>(S8) - Balthazar Crindy - TE,TPE: 510, http://nsfl.jcink.net/index.php?showtopic=8524,</t>
  </si>
  <si>
    <t>(S9) - Kyle Corbett - K/P,TPE: 104, http://nsfl.jcink.net/index.php?showtopic=9009,</t>
  </si>
  <si>
    <t>(S9) - Ricardo Jones - WR,TPE: 79, http://nsfl.jcink.net/index.php?showtopic=8721,</t>
  </si>
  <si>
    <t>(S12) - Devon Baxter - WR,TPE: 178, http://nsfl.jcink.net/index.php?showtopic=10516,</t>
  </si>
  <si>
    <t>(S13) - Blake McCargue - OL,TPE: 143, http://nsfl.jcink.net/index.php?showtopic=11082,</t>
  </si>
  <si>
    <t>(S5) - Ryan Sierra - DT,TPE: 175, http://nsfl.jcink.net/index.php?showtopic=5326,</t>
  </si>
  <si>
    <t>(S13) - Ladarius Ansong - TE,TPE: 50, http://nsfl.jcink.net/index.php?showtopic=11418,</t>
  </si>
  <si>
    <t>(S10) - True Pierce - LB,TPE: 76, http://nsfl.jcink.net/index.php?showtopic=9797,</t>
  </si>
  <si>
    <t>Count</t>
  </si>
  <si>
    <t>(S8) - Thad Pennington - S,TPE: 742, http://nsfl.jcink.net/index.php?showtopic=7933,</t>
  </si>
  <si>
    <t>(S12) - Charlie Trout - LB,TPE: 655, http://nsfl.jcink.net/index.php?showtopic=10629,</t>
  </si>
  <si>
    <t>(S11) - Jaylin Hobbs - DT,TPE: 280, http://nsfl.jcink.net/index.php?showtopic=10429,</t>
  </si>
  <si>
    <t>(S13) - Caleb McCoy - S,TPE: 243, http://nsfl.jcink.net/index.php?showtopic=11072,</t>
  </si>
  <si>
    <t>(S12) - Axel Hornbacher - CB,TPE: 626, http://nsfl.jcink.net/index.php?showtopic=10708,</t>
  </si>
  <si>
    <t>(S8) - Omar Wrong - DT,TPE: 146, http://nsfl.jcink.net/index.php?showtopic=8396,</t>
  </si>
  <si>
    <t>(S8) - Viggo Squanch - WR,TPE: 789, http://nsfl.jcink.net/index.php?showtopic=8061,</t>
  </si>
  <si>
    <t>(S14) - Maxwell Beard - DT,TPE: 187, http://nsfl.jcink.net/index.php?showtopic=11658,</t>
  </si>
  <si>
    <t>(S12) - Fast Boija - RB,TPE: 248, http://nsfl.jcink.net/index.php?showtopic=10864,</t>
  </si>
  <si>
    <t>(S11) - Kulture Fulture - K/P,TPE: 604, http://nsfl.jcink.net/index.php?showtopic=10126,</t>
  </si>
  <si>
    <t>(S11) - Josh Parker - WR,TPE: 573, http://nsfl.jcink.net/index.php?showtopic=10061,</t>
  </si>
  <si>
    <t>(S7) - Zach Skinner - DE,TPE: 468, http://nsfl.jcink.net/index.php?showtopic=7874,</t>
  </si>
  <si>
    <t>(S11) - Slim Shady - RB,TPE: 460, http://nsfl.jcink.net/index.php?showtopic=10234,</t>
  </si>
  <si>
    <t>(S10) - Avery Woodham - DE,TPE: 187, http://nsfl.jcink.net/index.php?showtopic=9416,</t>
  </si>
  <si>
    <t>(S9) - Ricky Adams - RB,TPE: 702, http://nsfl.jcink.net/index.php?showtopic=8740,</t>
  </si>
  <si>
    <t>(S15) - Frasier Crane - DE,TPE: 106, http://nsfl.jcink.net/index.php?showtopic=12518,</t>
  </si>
  <si>
    <t>(S15) - Cedric Parker - WR,TPE: 66, http://nsfl.jcink.net/index.php?showtopic=12471,</t>
  </si>
  <si>
    <t>(S15) - Farley Hank - RB,TPE: 82, http://nsfl.jcink.net/index.php?showtopic=12348,</t>
  </si>
  <si>
    <t>(S15) - Ryan Leaf Jr - QB,TPE: 69, http://nsfl.jcink.net/index.php?showtopic=12221,</t>
  </si>
  <si>
    <t>(S15) - Andrew Solomon - CB,TPE: 52, http://nsfl.jcink.net/index.php?showtopic=12218,</t>
  </si>
  <si>
    <t>(S15) - RKANSAW N/A - RB,TPE: 50, http://nsfl.jcink.net/index.php?showtopic=12778,</t>
  </si>
  <si>
    <t>(S15) - Dashwan Jackson - WR,TPE: 57, http://nsfl.jcink.net/index.php?showtopic=12322,</t>
  </si>
  <si>
    <t>(S15) - CrayCray Lewis - LB,TPE: 60, http://nsfl.jcink.net/index.php?showtopic=12288,</t>
  </si>
  <si>
    <t>(S15) - Kermit Stronglegs - RB,TPE: 92, http://nsfl.jcink.net/index.php?showtopic=12142,</t>
  </si>
  <si>
    <t>(S14) - Leighton Lee - LB,TPE: 259, http://nsfl.jcink.net/index.php?showtopic=11684,</t>
  </si>
  <si>
    <t>(S15) - David Le Kre - CB,TPE: 55, http://nsfl.jcink.net/index.php?showtopic=12606,</t>
  </si>
  <si>
    <t>(S15) - Max Vaz - RB,TPE: 67, http://nsfl.jcink.net/index.php?showtopic=12258,</t>
  </si>
  <si>
    <t>(S15) - Mister Big Chest - WR,TPE: 82, http://nsfl.jcink.net/index.php?showtopic=12252,</t>
  </si>
  <si>
    <t>(S15) - Robert Kleven - WR,TPE: 57, http://nsfl.jcink.net/index.php?showtopic=12228,</t>
  </si>
  <si>
    <t>(S15) - Bruce Waynner - DT,TPE: 59, http://nsfl.jcink.net/index.php?showtopic=12164,</t>
  </si>
  <si>
    <t>(S15) - Michael Beckham - LB,TPE: 50, http://nsfl.jcink.net/index.php?showtopic=12839,</t>
  </si>
  <si>
    <t>(S15) - TJ Hendrix - QB,TPE: 65, http://nsfl.jcink.net/index.php?showtopic=12535,</t>
  </si>
  <si>
    <t>(S15) - Edmond Beaver-Dantes - OL,TPE: 141, http://nsfl.jcink.net/index.php?showtopic=12532,</t>
  </si>
  <si>
    <t>(S15) - Groovy Johnson - CB,TPE: 59, http://nsfl.jcink.net/index.php?showtopic=12367,</t>
  </si>
  <si>
    <t>(S15) - Carlomagno Rey - WR,TPE: 62, http://nsfl.jcink.net/index.php?showtopic=12371,</t>
  </si>
  <si>
    <t>(S15) - Jacob Rowan - OL,TPE: 72, http://nsfl.jcink.net/index.php?showtopic=12170,</t>
  </si>
  <si>
    <t>(S15) - Bill Inohi - DT,TPE: 59, http://nsfl.jcink.net/index.php?showtopic=12196,</t>
  </si>
  <si>
    <t>(S15) - Martavius Mack - S,TPE: 74, http://nsfl.jcink.net/index.php?showtopic=12175,</t>
  </si>
  <si>
    <t>(S15) - Eric Lorentz - LB,TPE: 55, http://nsfl.jcink.net/index.php?showtopic=12604,</t>
  </si>
  <si>
    <t>(S15) - Cameron Clutch - K,TPE: 82, http://nsfl.jcink.net/index.php?showtopic=12561,</t>
  </si>
  <si>
    <t>(S15) - Charles Mudley - WR,TPE: 83, http://nsfl.jcink.net/index.php?showtopic=12272,</t>
  </si>
  <si>
    <t>(S15) - Tobias Chase - CB,TPE: 99, http://nsfl.jcink.net/index.php?showtopic=12332,</t>
  </si>
  <si>
    <t>(S15) - Lucas Knight - CB,TPE: 122, http://nsfl.jcink.net/index.php?showtopic=12290,</t>
  </si>
  <si>
    <t>(S15) - Dorfus Jimbo - RB,TPE: 118, http://nsfl.jcink.net/index.php?showtopic=12240,</t>
  </si>
  <si>
    <t>(S15) - Jack Rambo - S,TPE: 111, http://nsfl.jcink.net/index.php?showtopic=12143,</t>
  </si>
  <si>
    <t>(S15) - Nick Snider - DT,TPE: 87, http://nsfl.jcink.net/index.php?showtopic=12107,</t>
  </si>
  <si>
    <t>(S15) - Allen Josh - LB,TPE: 158, http://nsfl.jcink.net/index.php?showtopic=11967,</t>
  </si>
  <si>
    <t>San Jose Sabercats</t>
  </si>
  <si>
    <t>Baltimore Hawks</t>
  </si>
  <si>
    <t>Colorado Yeti</t>
  </si>
  <si>
    <t>Philadelphia Liberty</t>
  </si>
  <si>
    <t>Yellowknife Wraiths</t>
  </si>
  <si>
    <t>Arizona Outlaws</t>
  </si>
  <si>
    <t>New Orleans Second Line</t>
  </si>
  <si>
    <t>Orange County Otters</t>
  </si>
  <si>
    <t>Free Agent</t>
  </si>
  <si>
    <t>Kansas City Coyotes</t>
  </si>
  <si>
    <t>Portland Pythons</t>
  </si>
  <si>
    <t>San Antonio Marshals</t>
  </si>
  <si>
    <t>Tijuana Luchadores</t>
  </si>
  <si>
    <t>Palm Beach Solar Bears</t>
  </si>
  <si>
    <t>Norfolk Seawolves</t>
  </si>
  <si>
    <t>Draft Prospect</t>
  </si>
  <si>
    <t>QB</t>
  </si>
  <si>
    <t>RB</t>
  </si>
  <si>
    <t>FB</t>
  </si>
  <si>
    <t>WR</t>
  </si>
  <si>
    <t>TE</t>
  </si>
  <si>
    <t>OL</t>
  </si>
  <si>
    <t>DE</t>
  </si>
  <si>
    <t>DT</t>
  </si>
  <si>
    <t>DL</t>
  </si>
  <si>
    <t>LB</t>
  </si>
  <si>
    <t>CB</t>
  </si>
  <si>
    <t>S</t>
  </si>
  <si>
    <t>K</t>
  </si>
  <si>
    <t>P</t>
  </si>
  <si>
    <t>K/P</t>
  </si>
  <si>
    <t>K-P</t>
  </si>
  <si>
    <t>Kicker</t>
  </si>
  <si>
    <t>Safety</t>
  </si>
  <si>
    <t>Cornerback</t>
  </si>
  <si>
    <t>Linebacker</t>
  </si>
  <si>
    <t>Defensive Line</t>
  </si>
  <si>
    <t>Offensive Line</t>
  </si>
  <si>
    <t>Tight End</t>
  </si>
  <si>
    <t>Wide Receiver</t>
  </si>
  <si>
    <t>Runningback</t>
  </si>
  <si>
    <t>Quarterback</t>
  </si>
  <si>
    <t>(S11) - Kick Puncher - K/P,TPE: 76, http://nsfl.jcink.net/index.php?showtopic=9857,</t>
  </si>
  <si>
    <t>(S12) - Jorel Tuck - S,TPE: 595, http://nsfl.jcink.net/index.php?showtopic=11019,</t>
  </si>
  <si>
    <t>(S12) - Trey Staley - S,TPE: 479, http://nsfl.jcink.net/index.php?showtopic=10671,</t>
  </si>
  <si>
    <t>(S12) - Freezer Riposte - DT,TPE: 633, http://nsfl.jcink.net/index.php?showtopic=10513,</t>
  </si>
  <si>
    <t>(S11) - Jerrod Canton - RB,TPE: 689, http://nsfl.jcink.net/index.php?showtopic=10212,</t>
  </si>
  <si>
    <t>(S11) - Footballer Sackerman - DT,TPE: 458, http://nsfl.jcink.net/index.php?showtopic=9979,</t>
  </si>
  <si>
    <t>(S10) - Xandra Troyski - CB,TPE: 752, http://nsfl.jcink.net/index.php?showtopic=9472,</t>
  </si>
  <si>
    <t>(S10) - D'Pez Poopsie - DE,TPE: 1018, http://nsfl.jcink.net/index.php?showtopic=9381,</t>
  </si>
  <si>
    <t>(S10) - Kazimir Oles - WR,TPE: 1063, http://nsfl.jcink.net/index.php?showtopic=9239,</t>
  </si>
  <si>
    <t>(S10) - Joliet L. Christ - QB,TPE: 898, http://nsfl.jcink.net/index.php?showtopic=9189,</t>
  </si>
  <si>
    <t>(S9) - Kolby Deringer - LB,TPE: 1078, http://nsfl.jcink.net/index.php?showtopic=8851,</t>
  </si>
  <si>
    <t>(S9) - Xavier Flash - WR,TPE: 946, http://nsfl.jcink.net/index.php?showtopic=8717,</t>
  </si>
  <si>
    <t>(S8) - Chad Pennington - LB,TPE: 1179, http://nsfl.jcink.net/index.php?showtopic=7930,</t>
  </si>
  <si>
    <t>(S12) - Errol Maddox - WR,TPE: 709, http://nsfl.jcink.net/index.php?showtopic=10480,</t>
  </si>
  <si>
    <t>(S11) - Kwame Abayomi Mbanefo - DE,TPE: 718, http://nsfl.jcink.net/index.php?showtopic=9838,</t>
  </si>
  <si>
    <t>(S9) - Marquise Brown - RB,TPE: 990, http://nsfl.jcink.net/index.php?showtopic=8834,</t>
  </si>
  <si>
    <t>(S9) - Vinny Valentine - WR,TPE: 1,002, http://nsfl.jcink.net/index.php?showtopic=8751,</t>
  </si>
  <si>
    <t>(S8) - Ben Horne - LB,TPE: 1,006, http://nsfl.jcink.net/index.php?showtopic=8172,</t>
  </si>
  <si>
    <t>(S8) - Childish Gambino - QB,TPE: 1,048, http://nsfl.jcink.net/index.php?showtopic=7976,</t>
  </si>
  <si>
    <t>(S7) - Verso L'Alto - TE,TPE: 1187, http://nsfl.jcink.net/index.php?showtopic=7710,</t>
  </si>
  <si>
    <t>(S6) - Austin Roenick - LB,TPE: 833, http://nsfl.jcink.net/index.php?showtopic=6510,</t>
  </si>
  <si>
    <t>(S4) - Blackford Oakes - S,TPE: 485, http://nsfl.jcink.net/index.php?showtopic=4964,</t>
  </si>
  <si>
    <t>(S12) - Beau Montgomery - CB,TPE: 446, http://nsfl.jcink.net/index.php?showtopic=10657,</t>
  </si>
  <si>
    <t>(S12) - Logan Lejune - LB,TPE: 514, http://nsfl.jcink.net/index.php?showtopic=10573,</t>
  </si>
  <si>
    <t>(S12) - James Bishop - WR,TPE: 705, http://nsfl.jcink.net/index.php?showtopic=10524,</t>
  </si>
  <si>
    <t>(S10) - Devo Cansino - RB,TPE: 327, http://nsfl.jcink.net/index.php?showtopic=9786,</t>
  </si>
  <si>
    <t>(S6) - Micycle McCormick - QB,TPE: 954, http://nsfl.jcink.net/index.php?showtopic=6395,</t>
  </si>
  <si>
    <t>(S11) - K.J. Becker - LB,TPE: 636, http://nsfl.jcink.net/index.php?showtopic=10018,</t>
  </si>
  <si>
    <t>(S10) - Jordan von Matt - WR,TPE: 745, http://nsfl.jcink.net/index.php?showtopic=9512,</t>
  </si>
  <si>
    <t>(S10) - Adriana Falconi - QB,TPE: 933, http://nsfl.jcink.net/index.php?showtopic=9220,</t>
  </si>
  <si>
    <t>(S9) - Bucky Barnes - S,TPE: 1031, http://nsfl.jcink.net/index.php?showtopic=8553,</t>
  </si>
  <si>
    <t>(S14) - Sandip &amp;quot;Sandy&amp;quot; Bakshi - LB,TPE: 162, http://nsfl.jcink.net/index.php?showtopic=11946,</t>
  </si>
  <si>
    <t>(S13) - Knute Knurtsson - S,TPE: 200, http://nsfl.jcink.net/index.php?showtopic=11536,</t>
  </si>
  <si>
    <t>(S13) - Nate Swift - WR,TPE: 382, http://nsfl.jcink.net/index.php?showtopic=11451,</t>
  </si>
  <si>
    <t>(S13) - Johnny Snuggles - CB,TPE: 520, http://nsfl.jcink.net/index.php?showtopic=11170,</t>
  </si>
  <si>
    <t>(S12) - Tommy Helanen - WR,TPE: 481, http://nsfl.jcink.net/index.php?showtopic=11004,</t>
  </si>
  <si>
    <t>(S12) - Dick Wizardry - RB,TPE: 679, http://nsfl.jcink.net/index.php?showtopic=10648,</t>
  </si>
  <si>
    <t>(S11) - Alex Selich - LB,TPE: 743, http://nsfl.jcink.net/index.php?showtopic=9833,</t>
  </si>
  <si>
    <t>(S7) - Ryan Applehort - QB,TPE: 1192, http://nsfl.jcink.net/index.php?showtopic=7424,</t>
  </si>
  <si>
    <t>(S12) - Raymond Vans - LB,TPE: 441, http://nsfl.jcink.net/index.php?showtopic=11030,</t>
  </si>
  <si>
    <t>(S12) - Hike Mughes - CB,TPE: 305, http://nsfl.jcink.net/index.php?showtopic=10917,</t>
  </si>
  <si>
    <t>(S12) - Jeffery Murphy - CB,TPE: 250, http://nsfl.jcink.net/index.php?showtopic=10668,</t>
  </si>
  <si>
    <t>(S11) - Andrew Reese - QB,TPE: 789, http://nsfl.jcink.net/index.php?showtopic=9986,</t>
  </si>
  <si>
    <t>(S14) - Stan Francisco - TE,TPE: 219, http://nsfl.jcink.net/index.php?showtopic=11721,</t>
  </si>
  <si>
    <t>(S13) - Tyler Swift - RB,TPE: 476, http://nsfl.jcink.net/index.php?showtopic=11230,</t>
  </si>
  <si>
    <t>(S13) - Benson Harris - DT,TPE: 415, http://nsfl.jcink.net/index.php?showtopic=11077,</t>
  </si>
  <si>
    <t>(S12) - Grayson Kuusela - DE,TPE: 457, http://nsfl.jcink.net/index.php?showtopic=10541,</t>
  </si>
  <si>
    <t>(S10) - Lo Rax - DE,TPE: 710, http://nsfl.jcink.net/index.php?showtopic=9453,</t>
  </si>
  <si>
    <t>(S8) - William H. Harrison - S,TPE: 899, http://nsfl.jcink.net/index.php?showtopic=7904,</t>
  </si>
  <si>
    <t>(S7) - Vladimir Fyodorovich - WR,TPE: 1188, http://nsfl.jcink.net/index.php?showtopic=7650,</t>
  </si>
  <si>
    <t>(S13) - Johnny Blaze - TE,TPE: 340, http://nsfl.jcink.net/index.php?showtopic=11463,</t>
  </si>
  <si>
    <t>(S13) - David Ginsberg - LB,TPE: 309, http://nsfl.jcink.net/index.php?showtopic=11206,</t>
  </si>
  <si>
    <t>(S12) - Django Anoa'i - WR,TPE: 381, http://nsfl.jcink.net/index.php?showtopic=10643,</t>
  </si>
  <si>
    <t>(S12) - Thorian Skarsgard - DT,TPE: 573, http://nsfl.jcink.net/index.php?showtopic=10568,</t>
  </si>
  <si>
    <t>(S11) - Dan Schneider - S,TPE: 720, http://nsfl.jcink.net/index.php?showtopic=10056,</t>
  </si>
  <si>
    <t>(S11) - Tana Keïta - LB,TPE: 622, http://nsfl.jcink.net/index.php?showtopic=9991,</t>
  </si>
  <si>
    <t>(S11) - Marc Spector - DE,TPE: 520, http://nsfl.jcink.net/index.php?showtopic=9997,</t>
  </si>
  <si>
    <t>(S11) - Sunnycursed - WR,TPE: 791, http://nsfl.jcink.net/index.php?showtopic=9850,</t>
  </si>
  <si>
    <t>(S10) - Danny Grithead - S,TPE: 1005, http://nsfl.jcink.net/index.php?showtopic=9290,</t>
  </si>
  <si>
    <t>(S9) - Gus T.T. Showbiz - QB,TPE: 1012, http://nsfl.jcink.net/index.php?showtopic=8771,</t>
  </si>
  <si>
    <t>(S7) - Mason Brown - S,TPE: 880, http://nsfl.jcink.net/index.php?showtopic=7823,</t>
  </si>
  <si>
    <t>(S5) - Carlito Crush - WR,TPE: 795, http://nsfl.jcink.net/index.php?showtopic=5103,</t>
  </si>
  <si>
    <t>(S15) - Jay Quick - RB,TPE: 75, http://nsfl.jcink.net/index.php?showtopic=12675,</t>
  </si>
  <si>
    <t>(S15) - Cameron Olsen - TE,TPE: 155, http://nsfl.jcink.net/index.php?showtopic=12328,</t>
  </si>
  <si>
    <t>(S15) - Terry Taffy - RB,TPE: 158, http://nsfl.jcink.net/index.php?showtopic=12232,</t>
  </si>
  <si>
    <t>(S14) - Rose Jenkins - QB,TPE: 309, http://nsfl.jcink.net/index.php?showtopic=11678,</t>
  </si>
  <si>
    <t>(S14) - Alfredo &amp;quot;Thighmaster&amp;quot; Crisco - K/P,TPE: 148, http://nsfl.jcink.net/index.php?showtopic=11580,</t>
  </si>
  <si>
    <t>(S15) - AJ Lattimer - DT,TPE: 118, http://nsfl.jcink.net/index.php?showtopic=12613,</t>
  </si>
  <si>
    <t>(S15) - Tyler Janes - RB,TPE: 82, http://nsfl.jcink.net/index.php?showtopic=12329,</t>
  </si>
  <si>
    <t>(S15) - Avery Thomas - S,TPE: 69, http://nsfl.jcink.net/index.php?showtopic=12378,</t>
  </si>
  <si>
    <t>(S15) - Lightsout Lewis - LB,TPE: 148, http://nsfl.jcink.net/index.php?showtopic=12326,</t>
  </si>
  <si>
    <t>(S15) - Lanzer Grievous - LB,TPE: 147, http://nsfl.jcink.net/index.php?showtopic=12292,</t>
  </si>
  <si>
    <t>(S15) - Xerxes Ridley - CB,TPE: 162, http://nsfl.jcink.net/index.php?showtopic=12268,</t>
  </si>
  <si>
    <t>(S15) - Alex Dasistwirklichseinnachname - K,TPE: 95, http://nsfl.jcink.net/index.php?showtopic=12178,</t>
  </si>
  <si>
    <t>(S15) - Franklin Armstrong - QB,TPE: 163, http://nsfl.jcink.net/index.php?showtopic=12031,</t>
  </si>
  <si>
    <t>(S15) - Richard D'Attoria V - S,TPE: 158, http://nsfl.jcink.net/index.php?showtopic=12024,</t>
  </si>
  <si>
    <t>(S15) - Emondov Emoji - CB,TPE: 187, http://nsfl.jcink.net/index.php?showtopic=11992,</t>
  </si>
  <si>
    <t>(S14) - Gekyume Stokeley - LB,TPE: 209, http://nsfl.jcink.net/index.php?showtopic=11926,</t>
  </si>
  <si>
    <t>(S13) - Bona'beri Jones - WR,TPE: 211, http://nsfl.jcink.net/index.php?showtopic=11532,</t>
  </si>
  <si>
    <t>(S15) - Nero Alexander - DE,TPE: 166, http://nsfl.jcink.net/index.php?showtopic=12364,</t>
  </si>
  <si>
    <t>(S15) - Franklin Cooper - S,TPE: 73, http://nsfl.jcink.net/index.php?showtopic=12363,</t>
  </si>
  <si>
    <t>(S15) - Walt Green - S,TPE: 154, http://nsfl.jcink.net/index.php?showtopic=12283,</t>
  </si>
  <si>
    <t>(S15) - Morgan Marshall - RB,TPE: 168, http://nsfl.jcink.net/index.php?showtopic=12191,</t>
  </si>
  <si>
    <t>(S15) - Timmy Hoss - TE,TPE: 155, http://nsfl.jcink.net/index.php?showtopic=12186,</t>
  </si>
  <si>
    <t>(S15) - Quenton Bode - LB,TPE: 146, http://nsfl.jcink.net/index.php?showtopic=12109,</t>
  </si>
  <si>
    <t>(S15) - Mo Berry - LB,TPE: 148, http://nsfl.jcink.net/index.php?showtopic=12113,</t>
  </si>
  <si>
    <t>(S14) - Joseph Henry - DE,TPE: 197, http://nsfl.jcink.net/index.php?showtopic=11706,</t>
  </si>
  <si>
    <t>(S14) - Cooter Bigsby - QB,TPE: 347, http://nsfl.jcink.net/index.php?showtopic=11587,</t>
  </si>
  <si>
    <t>(S13) - Vander Jones - CB,TPE: 233, http://nsfl.jcink.net/index.php?showtopic=11499,</t>
  </si>
  <si>
    <t>(S15) - Rod Tidwell - WR,TPE: 141, http://nsfl.jcink.net/index.php?showtopic=12700,</t>
  </si>
  <si>
    <t>(S15) - Jammerson Irving - TE,TPE: 133, http://nsfl.jcink.net/index.php?showtopic=12384,</t>
  </si>
  <si>
    <t>(S15) - Brave Ulysses - OL,TPE: 149, http://nsfl.jcink.net/index.php?showtopic=12413,</t>
  </si>
  <si>
    <t>(S15) - Forrest Gump - RB,TPE: 139, http://nsfl.jcink.net/index.php?showtopic=12260,</t>
  </si>
  <si>
    <t>(S15) - Momodou Jallow - S,TPE: 83, http://nsfl.jcink.net/index.php?showtopic=12255,</t>
  </si>
  <si>
    <t>(S15) - Troy Humuhumunukunukuāpuaʻa - S,TPE: 134, http://nsfl.jcink.net/index.php?showtopic=12165,</t>
  </si>
  <si>
    <t>(S15) - Lo Mein - DE,TPE: 78, http://nsfl.jcink.net/index.php?showtopic=12061,</t>
  </si>
  <si>
    <t>(S15) - Johnny Slothface - LB,TPE: 186, http://nsfl.jcink.net/index.php?showtopic=12011,</t>
  </si>
  <si>
    <t>(S15) - JoJo Burr-Kirven - LB,TPE: 113, http://nsfl.jcink.net/index.php?showtopic=11980,</t>
  </si>
  <si>
    <t>(S14) - Corvo Havran - QB,TPE: 357, http://nsfl.jcink.net/index.php?showtopic=11597,</t>
  </si>
  <si>
    <t>(S15) - Lenard Marx - WR,TPE: 50, http://nsfl.jcink.net/index.php?showtopic=12919,</t>
  </si>
  <si>
    <t>(S15) - Deon Taylor - CB,TPE: 104, http://nsfl.jcink.net/index.php?showtopic=12676,</t>
  </si>
  <si>
    <t>(S15) - Michael Rood - TE,TPE: 112, http://nsfl.jcink.net/index.php?showtopic=12395,</t>
  </si>
  <si>
    <t>(S15) - Apollo Lange - QB,TPE: 129, http://nsfl.jcink.net/index.php?showtopic=12396,</t>
  </si>
  <si>
    <t>(S15) - Rock Hardshaft - LB,TPE: 119, http://nsfl.jcink.net/index.php?showtopic=12318,</t>
  </si>
  <si>
    <t>(S15) - Quentin Sinclair - S,TPE: 108, http://nsfl.jcink.net/index.php?showtopic=12282,</t>
  </si>
  <si>
    <t>(S15) - Ludicolo Bigby - RB,TPE: 98, http://nsfl.jcink.net/index.php?showtopic=12281,</t>
  </si>
  <si>
    <t>(S15) - Ben Bortboy - RB,TPE: 146, http://nsfl.jcink.net/index.php?showtopic=12249,</t>
  </si>
  <si>
    <t>(S15) - Dan Wright - TE,TPE: 109, http://nsfl.jcink.net/index.php?showtopic=12224,</t>
  </si>
  <si>
    <t>(S15) - Fatih Terim - S,TPE: 141, http://nsfl.jcink.net/index.php?showtopic=12194,</t>
  </si>
  <si>
    <t>(S15) - Nacho Varga - WR,TPE: 132, http://nsfl.jcink.net/index.php?showtopic=12173,</t>
  </si>
  <si>
    <t>(S15) - Guy Nikko - LB,TPE: 160, http://nsfl.jcink.net/index.php?showtopic=12163,</t>
  </si>
  <si>
    <t>(S15) - Tony Gabagool - LB,TPE: 137, http://nsfl.jcink.net/index.php?showtopic=12102,</t>
  </si>
  <si>
    <t>(S15) - Lamont McKinnie - S,TPE: 148, http://nsfl.jcink.net/index.php?showtopic=12095,</t>
  </si>
  <si>
    <t>(S15) - Rahm Kota - OL,TPE: 103, http://nsfl.jcink.net/index.php?showtopic=12083,</t>
  </si>
  <si>
    <t>(S15) - Chase Jensen - TE,TPE: 186, http://nsfl.jcink.net/index.php?showtopic=12017,</t>
  </si>
  <si>
    <t>(S15) - Trevon Simmons - DE,TPE: 50, http://nsfl.jcink.net/index.php?showtopic=12899,</t>
  </si>
  <si>
    <t>(S15) - Apollo Reed - RB,TPE: 111, http://nsfl.jcink.net/index.php?showtopic=12691,</t>
  </si>
  <si>
    <t>(S15) - Jay Longshaw - QB,TPE: 132, http://nsfl.jcink.net/index.php?showtopic=12482,</t>
  </si>
  <si>
    <t>(S15) - Ahri Espeeyeeseetee - WR,TPE: 160, http://nsfl.jcink.net/index.php?showtopic=12296,</t>
  </si>
  <si>
    <t>(S15) - Logan Uchiha - S,TPE: 128, http://nsfl.jcink.net/index.php?showtopic=12188,</t>
  </si>
  <si>
    <t>(S15) - Giannis Kroustis - S,TPE: 124, http://nsfl.jcink.net/index.php?showtopic=12138,</t>
  </si>
  <si>
    <t>(S15) - Ricardo Morris - DT,TPE: 160, http://nsfl.jcink.net/index.php?showtopic=12063,</t>
  </si>
  <si>
    <t>(S15) - Brock Landers - WR,TPE: 164, http://nsfl.jcink.net/index.php?showtopic=12087,</t>
  </si>
  <si>
    <t>(S15) - Marquees Acho - LB,TPE: 122, http://nsfl.jcink.net/index.php?showtopic=12086,</t>
  </si>
  <si>
    <t xml:space="preserve">Spencer Castle </t>
  </si>
  <si>
    <t>S13</t>
  </si>
  <si>
    <t xml:space="preserve">Ja'brill Tuck </t>
  </si>
  <si>
    <t>S12</t>
  </si>
  <si>
    <t xml:space="preserve">Neo Donaldson </t>
  </si>
  <si>
    <t xml:space="preserve">Jorel Tuck </t>
  </si>
  <si>
    <t xml:space="preserve">Ronnie Williams </t>
  </si>
  <si>
    <t xml:space="preserve">Trey Staley </t>
  </si>
  <si>
    <t xml:space="preserve">Freezer Riposte </t>
  </si>
  <si>
    <t xml:space="preserve">Jerrod Canton </t>
  </si>
  <si>
    <t>S11</t>
  </si>
  <si>
    <t xml:space="preserve">Ty Justice </t>
  </si>
  <si>
    <t xml:space="preserve">Danny Methane </t>
  </si>
  <si>
    <t xml:space="preserve">Footballer Sackerman </t>
  </si>
  <si>
    <t xml:space="preserve">Xandra Troyski </t>
  </si>
  <si>
    <t>S10</t>
  </si>
  <si>
    <t xml:space="preserve">Chris Orosz </t>
  </si>
  <si>
    <t xml:space="preserve">D'Pez Poopsie </t>
  </si>
  <si>
    <t xml:space="preserve">Kazimir Oles </t>
  </si>
  <si>
    <t xml:space="preserve">Joliet L. Christ </t>
  </si>
  <si>
    <t xml:space="preserve">Kolby Deringer </t>
  </si>
  <si>
    <t>S9</t>
  </si>
  <si>
    <t xml:space="preserve">Xavier Flash </t>
  </si>
  <si>
    <t xml:space="preserve">Zapp Brannigan </t>
  </si>
  <si>
    <t xml:space="preserve">Thad Pennington </t>
  </si>
  <si>
    <t>S8</t>
  </si>
  <si>
    <t xml:space="preserve">Chad Pennington </t>
  </si>
  <si>
    <t xml:space="preserve">Corey Trevor </t>
  </si>
  <si>
    <t xml:space="preserve">Alex Frost </t>
  </si>
  <si>
    <t xml:space="preserve">Arbin Asipi III </t>
  </si>
  <si>
    <t xml:space="preserve">Charlie Trout </t>
  </si>
  <si>
    <t xml:space="preserve">Errol Maddox </t>
  </si>
  <si>
    <t xml:space="preserve">Thomas Clark </t>
  </si>
  <si>
    <t xml:space="preserve">Jaylin Hobbs </t>
  </si>
  <si>
    <t xml:space="preserve">Yulic Nagasawa </t>
  </si>
  <si>
    <t xml:space="preserve">Kwame Abayomi Mbanefo </t>
  </si>
  <si>
    <t xml:space="preserve">Steven Oats </t>
  </si>
  <si>
    <t xml:space="preserve">Achilles Hondo </t>
  </si>
  <si>
    <t xml:space="preserve">Marquise Brown </t>
  </si>
  <si>
    <t xml:space="preserve">Vinny Valentine </t>
  </si>
  <si>
    <t xml:space="preserve">Declan Harp </t>
  </si>
  <si>
    <t xml:space="preserve">Ben Horne </t>
  </si>
  <si>
    <t xml:space="preserve">Childish Gambino </t>
  </si>
  <si>
    <t xml:space="preserve">Verso L'Alto </t>
  </si>
  <si>
    <t>S7</t>
  </si>
  <si>
    <t xml:space="preserve">Austin Roenick </t>
  </si>
  <si>
    <t>S6</t>
  </si>
  <si>
    <t xml:space="preserve">Gregory Fletcher </t>
  </si>
  <si>
    <t>S5</t>
  </si>
  <si>
    <t xml:space="preserve">Andre Bly Jr. </t>
  </si>
  <si>
    <t xml:space="preserve">Blackford Oakes </t>
  </si>
  <si>
    <t>S4</t>
  </si>
  <si>
    <t xml:space="preserve">Caleb McCoy </t>
  </si>
  <si>
    <t xml:space="preserve">Joey Sachs </t>
  </si>
  <si>
    <t xml:space="preserve">Soupy McBrain </t>
  </si>
  <si>
    <t xml:space="preserve">Jonathan Towers </t>
  </si>
  <si>
    <t xml:space="preserve">Axel Hornbacher </t>
  </si>
  <si>
    <t xml:space="preserve">Beau Montgomery </t>
  </si>
  <si>
    <t xml:space="preserve">Logan Lejune </t>
  </si>
  <si>
    <t xml:space="preserve">Sam Garrad </t>
  </si>
  <si>
    <t xml:space="preserve">James Bishop </t>
  </si>
  <si>
    <t xml:space="preserve">Devo Cansino </t>
  </si>
  <si>
    <t xml:space="preserve">Odell Marrett </t>
  </si>
  <si>
    <t xml:space="preserve">Lucari Felix </t>
  </si>
  <si>
    <t xml:space="preserve">Oskar Ludvig </t>
  </si>
  <si>
    <t xml:space="preserve">Kyle Corbett </t>
  </si>
  <si>
    <t xml:space="preserve">ShaDarrien LaMelllana </t>
  </si>
  <si>
    <t xml:space="preserve">Balthazar Crindy </t>
  </si>
  <si>
    <t xml:space="preserve">Omar Wrong </t>
  </si>
  <si>
    <t xml:space="preserve">Viggo Squanch </t>
  </si>
  <si>
    <t xml:space="preserve">Mark Grau </t>
  </si>
  <si>
    <t xml:space="preserve">Alvin Chipmunk </t>
  </si>
  <si>
    <t xml:space="preserve">Howard Miller </t>
  </si>
  <si>
    <t xml:space="preserve">Brian Mills </t>
  </si>
  <si>
    <t xml:space="preserve">Micycle McCormick </t>
  </si>
  <si>
    <t xml:space="preserve">Michael Tillman </t>
  </si>
  <si>
    <t xml:space="preserve">Haruki Ishigawa </t>
  </si>
  <si>
    <t xml:space="preserve">Maxwell Beard </t>
  </si>
  <si>
    <t>S14</t>
  </si>
  <si>
    <t xml:space="preserve">Corwin Davenport </t>
  </si>
  <si>
    <t xml:space="preserve">Ladarius Ansong </t>
  </si>
  <si>
    <t xml:space="preserve">Chris Steele </t>
  </si>
  <si>
    <t xml:space="preserve">Blake McCargue </t>
  </si>
  <si>
    <t xml:space="preserve">Fast Boija </t>
  </si>
  <si>
    <t xml:space="preserve">Luke Smyles </t>
  </si>
  <si>
    <t xml:space="preserve">Ikaika Kalilimoku </t>
  </si>
  <si>
    <t xml:space="preserve">Johnson Cox III </t>
  </si>
  <si>
    <t xml:space="preserve">Roger Batoff </t>
  </si>
  <si>
    <t xml:space="preserve">Kulture Fulture </t>
  </si>
  <si>
    <t xml:space="preserve">Curtis Saul </t>
  </si>
  <si>
    <t xml:space="preserve">K.J. Becker </t>
  </si>
  <si>
    <t xml:space="preserve">Lennox Garnett </t>
  </si>
  <si>
    <t xml:space="preserve">Jordan von Matt </t>
  </si>
  <si>
    <t xml:space="preserve">Ryland Morley </t>
  </si>
  <si>
    <t xml:space="preserve">Adriana Falconi </t>
  </si>
  <si>
    <t xml:space="preserve">Bucky Barnes </t>
  </si>
  <si>
    <t xml:space="preserve">Carter Bush </t>
  </si>
  <si>
    <t xml:space="preserve">Sandip Bakshi </t>
  </si>
  <si>
    <t xml:space="preserve">Knute Knurtsson </t>
  </si>
  <si>
    <t xml:space="preserve">Nate Swift </t>
  </si>
  <si>
    <t xml:space="preserve">Johnny Snuggles </t>
  </si>
  <si>
    <t xml:space="preserve">Pecker Cox </t>
  </si>
  <si>
    <t xml:space="preserve">Tommy Helanen </t>
  </si>
  <si>
    <t xml:space="preserve">Jeff Jefferson IV </t>
  </si>
  <si>
    <t xml:space="preserve">Dick Wizardry </t>
  </si>
  <si>
    <t xml:space="preserve">Thomas Carrasco </t>
  </si>
  <si>
    <t xml:space="preserve">Will Foster </t>
  </si>
  <si>
    <t xml:space="preserve">Bobson Dugnutt </t>
  </si>
  <si>
    <t xml:space="preserve">Josh Parker </t>
  </si>
  <si>
    <t xml:space="preserve">Adrian Pitcher </t>
  </si>
  <si>
    <t xml:space="preserve">Alex Selich </t>
  </si>
  <si>
    <t xml:space="preserve">Ramadan Steve </t>
  </si>
  <si>
    <t xml:space="preserve">Brad Pennington </t>
  </si>
  <si>
    <t xml:space="preserve">Zach Skinner </t>
  </si>
  <si>
    <t xml:space="preserve">Ryan Applehort </t>
  </si>
  <si>
    <t xml:space="preserve">Forfeit </t>
  </si>
  <si>
    <t xml:space="preserve">Cameron Taylor </t>
  </si>
  <si>
    <t xml:space="preserve">Ma Goomba </t>
  </si>
  <si>
    <t xml:space="preserve">Jaren Haden </t>
  </si>
  <si>
    <t xml:space="preserve">Jordan McCann </t>
  </si>
  <si>
    <t xml:space="preserve">Raymond Vans </t>
  </si>
  <si>
    <t xml:space="preserve">Hike Mughes </t>
  </si>
  <si>
    <t xml:space="preserve">Cole Walker </t>
  </si>
  <si>
    <t xml:space="preserve">Jeffery Murphy </t>
  </si>
  <si>
    <t xml:space="preserve">Sam Hardwick </t>
  </si>
  <si>
    <t xml:space="preserve">Slim Shady </t>
  </si>
  <si>
    <t xml:space="preserve">Harvey Kindle </t>
  </si>
  <si>
    <t xml:space="preserve">Steven Moore </t>
  </si>
  <si>
    <t xml:space="preserve">Andrew Reese </t>
  </si>
  <si>
    <t xml:space="preserve">A.J. Robertson </t>
  </si>
  <si>
    <t xml:space="preserve">Emilia Rudd </t>
  </si>
  <si>
    <t xml:space="preserve">Avery Woodham </t>
  </si>
  <si>
    <t xml:space="preserve">Shannon Hobbs </t>
  </si>
  <si>
    <t xml:space="preserve">Felix Hasselhoff </t>
  </si>
  <si>
    <t xml:space="preserve">John Springfield </t>
  </si>
  <si>
    <t xml:space="preserve">Tyler Griffin </t>
  </si>
  <si>
    <t xml:space="preserve">Jai Turner </t>
  </si>
  <si>
    <t xml:space="preserve">Hammer Jack </t>
  </si>
  <si>
    <t xml:space="preserve">Fonz Nuno </t>
  </si>
  <si>
    <t xml:space="preserve">Borro Gore </t>
  </si>
  <si>
    <t xml:space="preserve">Norman Bagwell </t>
  </si>
  <si>
    <t xml:space="preserve">Dean Jackson </t>
  </si>
  <si>
    <t xml:space="preserve">Trey Willie </t>
  </si>
  <si>
    <t>S3</t>
  </si>
  <si>
    <t xml:space="preserve">Stan Francisco </t>
  </si>
  <si>
    <t xml:space="preserve">Tyler Swift </t>
  </si>
  <si>
    <t xml:space="preserve">Benson Harris </t>
  </si>
  <si>
    <t xml:space="preserve">Stayve Jerome Thomas </t>
  </si>
  <si>
    <t xml:space="preserve">Rylant Wright </t>
  </si>
  <si>
    <t xml:space="preserve">Grayson Kuusela </t>
  </si>
  <si>
    <t xml:space="preserve">Aksel Danielsson </t>
  </si>
  <si>
    <t xml:space="preserve">Gordon Ramsey Jr. </t>
  </si>
  <si>
    <t xml:space="preserve">Franklin Townsend </t>
  </si>
  <si>
    <t xml:space="preserve">Thjalfi Halvorsen </t>
  </si>
  <si>
    <t xml:space="preserve">Lo Rax </t>
  </si>
  <si>
    <t xml:space="preserve">Damien Arnold </t>
  </si>
  <si>
    <t xml:space="preserve">Jesse Marchand </t>
  </si>
  <si>
    <t xml:space="preserve">Barnaby Earl </t>
  </si>
  <si>
    <t xml:space="preserve">Daquan Richardson </t>
  </si>
  <si>
    <t xml:space="preserve">Beat Meoff </t>
  </si>
  <si>
    <t xml:space="preserve">William H. Harrison </t>
  </si>
  <si>
    <t xml:space="preserve">Vladimir Fyodorovich </t>
  </si>
  <si>
    <t xml:space="preserve">Borkus Maximus III </t>
  </si>
  <si>
    <t xml:space="preserve">Johnny Blaze </t>
  </si>
  <si>
    <t xml:space="preserve">David Ginsberg </t>
  </si>
  <si>
    <t xml:space="preserve">Tommy Salami </t>
  </si>
  <si>
    <t xml:space="preserve">Django Anoa'i </t>
  </si>
  <si>
    <t xml:space="preserve">Thorian Skarsgard </t>
  </si>
  <si>
    <t xml:space="preserve">Jonathan Rice </t>
  </si>
  <si>
    <t xml:space="preserve">Dan Schneider </t>
  </si>
  <si>
    <t xml:space="preserve">Tana Keïta </t>
  </si>
  <si>
    <t xml:space="preserve">Marc Spector </t>
  </si>
  <si>
    <t xml:space="preserve">Sunnycursed </t>
  </si>
  <si>
    <t xml:space="preserve">Adam Anderson </t>
  </si>
  <si>
    <t xml:space="preserve">Seer Zephyrous </t>
  </si>
  <si>
    <t xml:space="preserve">Danny Grithead </t>
  </si>
  <si>
    <t xml:space="preserve">Gus T.T. Showbiz </t>
  </si>
  <si>
    <t xml:space="preserve">Ricky Adams </t>
  </si>
  <si>
    <t xml:space="preserve">Young Spaghetti </t>
  </si>
  <si>
    <t xml:space="preserve">Rickey Ramero </t>
  </si>
  <si>
    <t xml:space="preserve">Mason Brown </t>
  </si>
  <si>
    <t xml:space="preserve">Jaylon Broxton </t>
  </si>
  <si>
    <t xml:space="preserve">Glenn McPoyal </t>
  </si>
  <si>
    <t xml:space="preserve">Ryan Sierra </t>
  </si>
  <si>
    <t xml:space="preserve">Carlito Crush </t>
  </si>
  <si>
    <t xml:space="preserve">Harvey Danger </t>
  </si>
  <si>
    <t xml:space="preserve">Shane Trigg </t>
  </si>
  <si>
    <t xml:space="preserve">Blake Bishop </t>
  </si>
  <si>
    <t xml:space="preserve">Augustin LaDande </t>
  </si>
  <si>
    <t xml:space="preserve">Lanoi Arnold </t>
  </si>
  <si>
    <t xml:space="preserve">Ray Slick </t>
  </si>
  <si>
    <t xml:space="preserve">Adam Krossman </t>
  </si>
  <si>
    <t xml:space="preserve">Ricky Flores </t>
  </si>
  <si>
    <t xml:space="preserve">Zenyou Wozy </t>
  </si>
  <si>
    <t xml:space="preserve">Tanner Hendrix </t>
  </si>
  <si>
    <t xml:space="preserve">Taylor Peterson </t>
  </si>
  <si>
    <t xml:space="preserve">Con Nair </t>
  </si>
  <si>
    <t xml:space="preserve">Deion Jackson </t>
  </si>
  <si>
    <t xml:space="preserve">Fin Jameson </t>
  </si>
  <si>
    <t xml:space="preserve">Andreas Metaxas </t>
  </si>
  <si>
    <t xml:space="preserve">Robert Jordan </t>
  </si>
  <si>
    <t xml:space="preserve">LaMarcus Strike </t>
  </si>
  <si>
    <t xml:space="preserve">Ricardo Jones </t>
  </si>
  <si>
    <t xml:space="preserve">Alsan Arshad </t>
  </si>
  <si>
    <t xml:space="preserve">Emilio Ramero </t>
  </si>
  <si>
    <t xml:space="preserve">Deangelo Warren </t>
  </si>
  <si>
    <t xml:space="preserve">Klaus DerFisch </t>
  </si>
  <si>
    <t xml:space="preserve">Vance Sachs </t>
  </si>
  <si>
    <t xml:space="preserve">Seth Wallace </t>
  </si>
  <si>
    <t xml:space="preserve">Harry Balzac </t>
  </si>
  <si>
    <t xml:space="preserve">D.J. Riddick </t>
  </si>
  <si>
    <t xml:space="preserve">Justin Davis </t>
  </si>
  <si>
    <t xml:space="preserve">Jay Quick </t>
  </si>
  <si>
    <t>S15</t>
  </si>
  <si>
    <t xml:space="preserve">Frasier Crane </t>
  </si>
  <si>
    <t xml:space="preserve">Cedric Parker </t>
  </si>
  <si>
    <t xml:space="preserve">Farley Hank </t>
  </si>
  <si>
    <t xml:space="preserve">Ronald St. James III </t>
  </si>
  <si>
    <t xml:space="preserve">Cameron Olsen </t>
  </si>
  <si>
    <t xml:space="preserve">Mick Moekr </t>
  </si>
  <si>
    <t xml:space="preserve">Terry Taffy </t>
  </si>
  <si>
    <t xml:space="preserve">Ryan Leaf Jr </t>
  </si>
  <si>
    <t xml:space="preserve">Andrew Solomon </t>
  </si>
  <si>
    <t xml:space="preserve">Buddha Lebowski </t>
  </si>
  <si>
    <t xml:space="preserve">Christopher Loren </t>
  </si>
  <si>
    <t xml:space="preserve">Paul DiMirio III </t>
  </si>
  <si>
    <t xml:space="preserve">Brayden Larosee </t>
  </si>
  <si>
    <t xml:space="preserve">Cody Kupp </t>
  </si>
  <si>
    <t xml:space="preserve">Cam Poole </t>
  </si>
  <si>
    <t xml:space="preserve">Rose Jenkins </t>
  </si>
  <si>
    <t xml:space="preserve">Žak Korošec </t>
  </si>
  <si>
    <t xml:space="preserve">Alfredo Crisco </t>
  </si>
  <si>
    <t xml:space="preserve">Rembrandt Khalil-Bugatti </t>
  </si>
  <si>
    <t xml:space="preserve">J.N. Nova </t>
  </si>
  <si>
    <t xml:space="preserve">James Wade </t>
  </si>
  <si>
    <t xml:space="preserve">Derek Bohne </t>
  </si>
  <si>
    <t xml:space="preserve">Ace Boogie Jr. </t>
  </si>
  <si>
    <t xml:space="preserve">True Pierce </t>
  </si>
  <si>
    <t xml:space="preserve">Jake Verden </t>
  </si>
  <si>
    <t xml:space="preserve">RKANSAW N/A </t>
  </si>
  <si>
    <t xml:space="preserve">AJ Lattimer </t>
  </si>
  <si>
    <t xml:space="preserve">Pablo Sanchez </t>
  </si>
  <si>
    <t xml:space="preserve">Tyler Janes </t>
  </si>
  <si>
    <t xml:space="preserve">Avery Thomas </t>
  </si>
  <si>
    <t xml:space="preserve">Lightsout Lewis </t>
  </si>
  <si>
    <t xml:space="preserve">Dashwan Jackson </t>
  </si>
  <si>
    <t xml:space="preserve">Lanzer Grievous </t>
  </si>
  <si>
    <t xml:space="preserve">CrayCray Lewis </t>
  </si>
  <si>
    <t xml:space="preserve">Xerxes Ridley </t>
  </si>
  <si>
    <t xml:space="preserve">Gregor Clegaine </t>
  </si>
  <si>
    <t xml:space="preserve">Taters Johnson </t>
  </si>
  <si>
    <t xml:space="preserve">Alex Dasistwirklichseinnachname </t>
  </si>
  <si>
    <t xml:space="preserve">Justin Tyme </t>
  </si>
  <si>
    <t xml:space="preserve">Kermit Stronglegs </t>
  </si>
  <si>
    <t xml:space="preserve">Franklin Armstrong </t>
  </si>
  <si>
    <t xml:space="preserve">Richard D'Attoria V </t>
  </si>
  <si>
    <t xml:space="preserve">Emondov Emoji </t>
  </si>
  <si>
    <t xml:space="preserve">Gekyume Stokeley </t>
  </si>
  <si>
    <t xml:space="preserve">Adam Hardin </t>
  </si>
  <si>
    <t xml:space="preserve">Ricky Enbalse </t>
  </si>
  <si>
    <t xml:space="preserve">Leighton Lee </t>
  </si>
  <si>
    <t xml:space="preserve">Stanley Marshall </t>
  </si>
  <si>
    <t xml:space="preserve">Bona'beri Jones </t>
  </si>
  <si>
    <t xml:space="preserve">Roman Stakowski </t>
  </si>
  <si>
    <t xml:space="preserve">Grayson Wayne </t>
  </si>
  <si>
    <t xml:space="preserve">Beauregard Smallwood-Chess </t>
  </si>
  <si>
    <t xml:space="preserve">David Le Kre </t>
  </si>
  <si>
    <t xml:space="preserve">Lawalin Tae'orr </t>
  </si>
  <si>
    <t xml:space="preserve">Nero Alexander </t>
  </si>
  <si>
    <t xml:space="preserve">Franklin Cooper </t>
  </si>
  <si>
    <t xml:space="preserve">Walt Green </t>
  </si>
  <si>
    <t xml:space="preserve">Memphis Wilkerson </t>
  </si>
  <si>
    <t xml:space="preserve">Max Vaz </t>
  </si>
  <si>
    <t xml:space="preserve">Mister Big Chest </t>
  </si>
  <si>
    <t xml:space="preserve">Robert Kleven </t>
  </si>
  <si>
    <t xml:space="preserve">Morgan Marshall </t>
  </si>
  <si>
    <t xml:space="preserve">Timmy Hoss </t>
  </si>
  <si>
    <t xml:space="preserve">Bruce Waynner </t>
  </si>
  <si>
    <t xml:space="preserve">Neon Demon </t>
  </si>
  <si>
    <t xml:space="preserve">Quenton Bode </t>
  </si>
  <si>
    <t xml:space="preserve">Mo Berry </t>
  </si>
  <si>
    <t xml:space="preserve">Shaquill Williams VII </t>
  </si>
  <si>
    <t xml:space="preserve">Buchanan Simons </t>
  </si>
  <si>
    <t xml:space="preserve">Thad Castle </t>
  </si>
  <si>
    <t xml:space="preserve">James Andrews </t>
  </si>
  <si>
    <t xml:space="preserve">Drew Maddox </t>
  </si>
  <si>
    <t xml:space="preserve">Joseph Henry </t>
  </si>
  <si>
    <t xml:space="preserve">Cooter Bigsby </t>
  </si>
  <si>
    <t xml:space="preserve">Vander Jones </t>
  </si>
  <si>
    <t xml:space="preserve">Jon Gott </t>
  </si>
  <si>
    <t xml:space="preserve">Devon Baxter </t>
  </si>
  <si>
    <t xml:space="preserve">Spencer Lawes </t>
  </si>
  <si>
    <t xml:space="preserve">Clark Kent </t>
  </si>
  <si>
    <t xml:space="preserve">Michael Beckham </t>
  </si>
  <si>
    <t xml:space="preserve">Rod Tidwell </t>
  </si>
  <si>
    <t xml:space="preserve">Luca Ramero </t>
  </si>
  <si>
    <t xml:space="preserve">TJ Hendrix </t>
  </si>
  <si>
    <t xml:space="preserve">Edmond Beaver-Dantes </t>
  </si>
  <si>
    <t xml:space="preserve">Groovy Johnson </t>
  </si>
  <si>
    <t xml:space="preserve">Jammerson Irving </t>
  </si>
  <si>
    <t xml:space="preserve">Brave Ulysses </t>
  </si>
  <si>
    <t xml:space="preserve">Carlomagno Rey </t>
  </si>
  <si>
    <t xml:space="preserve">Trey Moffat </t>
  </si>
  <si>
    <t xml:space="preserve">Jacob Rowan </t>
  </si>
  <si>
    <t xml:space="preserve">Forrest Gump </t>
  </si>
  <si>
    <t xml:space="preserve">Momodou Jallow </t>
  </si>
  <si>
    <t xml:space="preserve">Bill Inohi </t>
  </si>
  <si>
    <t xml:space="preserve">Martavius Mack </t>
  </si>
  <si>
    <t xml:space="preserve">Troy Humuhumunukunukuāpuaʻa </t>
  </si>
  <si>
    <t xml:space="preserve">Lo Mein </t>
  </si>
  <si>
    <t xml:space="preserve">Troy Bryant </t>
  </si>
  <si>
    <t xml:space="preserve">Johnny Slothface </t>
  </si>
  <si>
    <t xml:space="preserve">JoJo Burr-Kirven </t>
  </si>
  <si>
    <t xml:space="preserve">Dingus Hunk </t>
  </si>
  <si>
    <t xml:space="preserve">Brett Tacony </t>
  </si>
  <si>
    <t xml:space="preserve">Stephen Harris Jr </t>
  </si>
  <si>
    <t xml:space="preserve">Corvo Havran </t>
  </si>
  <si>
    <t xml:space="preserve">Kyle Frost </t>
  </si>
  <si>
    <t xml:space="preserve">Dick Cheese Jr. </t>
  </si>
  <si>
    <t xml:space="preserve">CJ Henderson </t>
  </si>
  <si>
    <t xml:space="preserve">Daniel Amon </t>
  </si>
  <si>
    <t xml:space="preserve">Thomas Nova </t>
  </si>
  <si>
    <t xml:space="preserve">Zoro Roronoa </t>
  </si>
  <si>
    <t xml:space="preserve">Berrell Trister </t>
  </si>
  <si>
    <t xml:space="preserve">Lenard Marx </t>
  </si>
  <si>
    <t xml:space="preserve">Deon Taylor </t>
  </si>
  <si>
    <t xml:space="preserve">Michael Rood </t>
  </si>
  <si>
    <t xml:space="preserve">Apollo Lange </t>
  </si>
  <si>
    <t xml:space="preserve">Jameis Harrison </t>
  </si>
  <si>
    <t xml:space="preserve">Rock Hardshaft </t>
  </si>
  <si>
    <t xml:space="preserve">Quentin Sinclair </t>
  </si>
  <si>
    <t xml:space="preserve">Ludicolo Bigby </t>
  </si>
  <si>
    <t xml:space="preserve">Khalil Sack </t>
  </si>
  <si>
    <t xml:space="preserve">Ben Bortboy </t>
  </si>
  <si>
    <t xml:space="preserve">Dan Wright </t>
  </si>
  <si>
    <t xml:space="preserve">Matteo Maximin </t>
  </si>
  <si>
    <t xml:space="preserve">Fatih Terim </t>
  </si>
  <si>
    <t xml:space="preserve">Nacho Varga </t>
  </si>
  <si>
    <t xml:space="preserve">Gimmy Jaroppolo </t>
  </si>
  <si>
    <t xml:space="preserve">Guy Nikko </t>
  </si>
  <si>
    <t xml:space="preserve">Tony Gabagool </t>
  </si>
  <si>
    <t xml:space="preserve">Lamont McKinnie </t>
  </si>
  <si>
    <t xml:space="preserve">Rahm Kota </t>
  </si>
  <si>
    <t xml:space="preserve">Chase Jensen </t>
  </si>
  <si>
    <t xml:space="preserve">André Thornton </t>
  </si>
  <si>
    <t xml:space="preserve">Roderick Castleberry </t>
  </si>
  <si>
    <t xml:space="preserve">Kick Puncher </t>
  </si>
  <si>
    <t xml:space="preserve">Trevon Simmons </t>
  </si>
  <si>
    <t xml:space="preserve">Apollo Reed </t>
  </si>
  <si>
    <t xml:space="preserve">Eric Lorentz </t>
  </si>
  <si>
    <t xml:space="preserve">Cameron Clutch </t>
  </si>
  <si>
    <t xml:space="preserve">John Tebow </t>
  </si>
  <si>
    <t xml:space="preserve">Jay Longshaw </t>
  </si>
  <si>
    <t xml:space="preserve">Charles Mudley </t>
  </si>
  <si>
    <t xml:space="preserve">Tobias Chase </t>
  </si>
  <si>
    <t xml:space="preserve">D'Angelo Thompson </t>
  </si>
  <si>
    <t xml:space="preserve">Ahri Espeeyeeseetee </t>
  </si>
  <si>
    <t xml:space="preserve">Lucas Knight </t>
  </si>
  <si>
    <t xml:space="preserve">Dorfus Jimbo </t>
  </si>
  <si>
    <t xml:space="preserve">Proy Tolamalu  </t>
  </si>
  <si>
    <t xml:space="preserve">Jack Rambo </t>
  </si>
  <si>
    <t xml:space="preserve">Logan Uchiha </t>
  </si>
  <si>
    <t xml:space="preserve">Poster Nutbag </t>
  </si>
  <si>
    <t xml:space="preserve">Luke South </t>
  </si>
  <si>
    <t xml:space="preserve">Giannis Kroustis </t>
  </si>
  <si>
    <t xml:space="preserve">Nick Snider </t>
  </si>
  <si>
    <t xml:space="preserve">Ricardo Morris </t>
  </si>
  <si>
    <t xml:space="preserve">Brock Landers </t>
  </si>
  <si>
    <t xml:space="preserve">Marquees Acho </t>
  </si>
  <si>
    <t xml:space="preserve">Allen Josh </t>
  </si>
  <si>
    <t xml:space="preserve">Frank Fort </t>
  </si>
  <si>
    <t xml:space="preserve">Krispy Kreme </t>
  </si>
  <si>
    <t xml:space="preserve">Luke Boechler </t>
  </si>
  <si>
    <t xml:space="preserve">Eric McStrong </t>
  </si>
  <si>
    <t xml:space="preserve">Troy Humuhumunukunuku?pua?a </t>
  </si>
  <si>
    <t xml:space="preserve">Brock St. Winchester </t>
  </si>
  <si>
    <t xml:space="preserve">Trey Westfield </t>
  </si>
  <si>
    <t xml:space="preserve">Buzz Swaggerty </t>
  </si>
  <si>
    <t>PASTE THIS WEEK'S DATA HERE</t>
  </si>
  <si>
    <t>In last week</t>
  </si>
  <si>
    <t>Missing?</t>
  </si>
  <si>
    <t>PASTE LAST WEEK'S DATA HERE</t>
  </si>
  <si>
    <t>HISTORY INSERTS</t>
  </si>
  <si>
    <t>Season</t>
  </si>
  <si>
    <t>Week</t>
  </si>
  <si>
    <t>NSFL</t>
  </si>
  <si>
    <t>DSFL</t>
  </si>
  <si>
    <t>Prospect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</si>
</sst>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0" fillId="2" borderId="3" xfId="0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watson/AppData/Roaming/Microsoft/AddIns/ProfessahKToolba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ed"/>
      <sheetName val="combine"/>
      <sheetName val="testing"/>
      <sheetName val="DateFormats"/>
      <sheetName val="Options"/>
      <sheetName val="Index"/>
    </sheetNames>
    <definedNames>
      <definedName name="Numerize"/>
      <definedName name="RegExpSubstitute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6"/>
  <sheetViews>
    <sheetView workbookViewId="0">
      <selection activeCell="C16" sqref="C16"/>
    </sheetView>
  </sheetViews>
  <sheetFormatPr defaultRowHeight="15" x14ac:dyDescent="0.25"/>
  <cols>
    <col min="2" max="2" width="23.85546875" bestFit="1" customWidth="1"/>
    <col min="3" max="3" width="8.7109375" bestFit="1" customWidth="1"/>
    <col min="6" max="6" width="14.28515625" bestFit="1" customWidth="1"/>
  </cols>
  <sheetData>
    <row r="1" spans="1:6" x14ac:dyDescent="0.25">
      <c r="A1">
        <v>1</v>
      </c>
      <c r="B1" t="s">
        <v>242</v>
      </c>
      <c r="C1" t="s">
        <v>793</v>
      </c>
      <c r="E1" t="s">
        <v>258</v>
      </c>
      <c r="F1" t="s">
        <v>283</v>
      </c>
    </row>
    <row r="2" spans="1:6" x14ac:dyDescent="0.25">
      <c r="A2">
        <v>2</v>
      </c>
      <c r="B2" t="s">
        <v>243</v>
      </c>
      <c r="C2" t="s">
        <v>793</v>
      </c>
      <c r="E2" t="s">
        <v>259</v>
      </c>
      <c r="F2" t="s">
        <v>282</v>
      </c>
    </row>
    <row r="3" spans="1:6" x14ac:dyDescent="0.25">
      <c r="A3">
        <v>3</v>
      </c>
      <c r="B3" t="s">
        <v>244</v>
      </c>
      <c r="C3" t="s">
        <v>793</v>
      </c>
      <c r="E3" t="s">
        <v>260</v>
      </c>
      <c r="F3" t="s">
        <v>282</v>
      </c>
    </row>
    <row r="4" spans="1:6" x14ac:dyDescent="0.25">
      <c r="A4">
        <v>4</v>
      </c>
      <c r="B4" t="s">
        <v>245</v>
      </c>
      <c r="C4" t="s">
        <v>793</v>
      </c>
      <c r="E4" t="s">
        <v>261</v>
      </c>
      <c r="F4" t="s">
        <v>281</v>
      </c>
    </row>
    <row r="5" spans="1:6" x14ac:dyDescent="0.25">
      <c r="A5">
        <v>5</v>
      </c>
      <c r="B5" t="s">
        <v>246</v>
      </c>
      <c r="C5" t="s">
        <v>793</v>
      </c>
      <c r="E5" t="s">
        <v>262</v>
      </c>
      <c r="F5" t="s">
        <v>280</v>
      </c>
    </row>
    <row r="6" spans="1:6" x14ac:dyDescent="0.25">
      <c r="A6">
        <v>6</v>
      </c>
      <c r="B6" t="s">
        <v>247</v>
      </c>
      <c r="C6" t="s">
        <v>793</v>
      </c>
      <c r="E6" t="s">
        <v>263</v>
      </c>
      <c r="F6" t="s">
        <v>279</v>
      </c>
    </row>
    <row r="7" spans="1:6" x14ac:dyDescent="0.25">
      <c r="A7">
        <v>7</v>
      </c>
      <c r="B7" t="s">
        <v>248</v>
      </c>
      <c r="C7" t="s">
        <v>793</v>
      </c>
      <c r="E7" t="s">
        <v>264</v>
      </c>
      <c r="F7" t="s">
        <v>278</v>
      </c>
    </row>
    <row r="8" spans="1:6" x14ac:dyDescent="0.25">
      <c r="A8">
        <v>8</v>
      </c>
      <c r="B8" t="s">
        <v>249</v>
      </c>
      <c r="C8" t="s">
        <v>793</v>
      </c>
      <c r="E8" t="s">
        <v>265</v>
      </c>
      <c r="F8" t="s">
        <v>278</v>
      </c>
    </row>
    <row r="9" spans="1:6" x14ac:dyDescent="0.25">
      <c r="A9">
        <v>9</v>
      </c>
      <c r="B9" t="s">
        <v>250</v>
      </c>
      <c r="C9" t="s">
        <v>793</v>
      </c>
      <c r="E9" t="s">
        <v>266</v>
      </c>
      <c r="F9" t="s">
        <v>278</v>
      </c>
    </row>
    <row r="10" spans="1:6" x14ac:dyDescent="0.25">
      <c r="A10">
        <v>10</v>
      </c>
      <c r="B10" t="s">
        <v>251</v>
      </c>
      <c r="C10" t="s">
        <v>794</v>
      </c>
      <c r="E10" t="s">
        <v>267</v>
      </c>
      <c r="F10" t="s">
        <v>277</v>
      </c>
    </row>
    <row r="11" spans="1:6" x14ac:dyDescent="0.25">
      <c r="A11">
        <v>11</v>
      </c>
      <c r="B11" t="s">
        <v>252</v>
      </c>
      <c r="C11" t="s">
        <v>794</v>
      </c>
      <c r="E11" t="s">
        <v>268</v>
      </c>
      <c r="F11" t="s">
        <v>276</v>
      </c>
    </row>
    <row r="12" spans="1:6" x14ac:dyDescent="0.25">
      <c r="A12">
        <v>12</v>
      </c>
      <c r="B12" t="s">
        <v>253</v>
      </c>
      <c r="C12" t="s">
        <v>794</v>
      </c>
      <c r="E12" t="s">
        <v>269</v>
      </c>
      <c r="F12" t="s">
        <v>275</v>
      </c>
    </row>
    <row r="13" spans="1:6" x14ac:dyDescent="0.25">
      <c r="A13">
        <v>13</v>
      </c>
      <c r="B13" t="s">
        <v>254</v>
      </c>
      <c r="C13" t="s">
        <v>794</v>
      </c>
      <c r="E13" t="s">
        <v>270</v>
      </c>
      <c r="F13" t="s">
        <v>274</v>
      </c>
    </row>
    <row r="14" spans="1:6" x14ac:dyDescent="0.25">
      <c r="A14">
        <v>14</v>
      </c>
      <c r="B14" t="s">
        <v>255</v>
      </c>
      <c r="C14" t="s">
        <v>794</v>
      </c>
      <c r="E14" t="s">
        <v>271</v>
      </c>
      <c r="F14" t="s">
        <v>274</v>
      </c>
    </row>
    <row r="15" spans="1:6" x14ac:dyDescent="0.25">
      <c r="A15">
        <v>15</v>
      </c>
      <c r="B15" t="s">
        <v>256</v>
      </c>
      <c r="C15" t="s">
        <v>794</v>
      </c>
      <c r="E15" t="s">
        <v>272</v>
      </c>
      <c r="F15" t="s">
        <v>274</v>
      </c>
    </row>
    <row r="16" spans="1:6" x14ac:dyDescent="0.25">
      <c r="A16">
        <v>16</v>
      </c>
      <c r="B16" t="s">
        <v>257</v>
      </c>
      <c r="C16" t="s">
        <v>795</v>
      </c>
      <c r="E16" t="s">
        <v>273</v>
      </c>
      <c r="F16" t="s">
        <v>274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59"/>
  <sheetViews>
    <sheetView tabSelected="1" workbookViewId="0">
      <selection activeCell="F359" sqref="F2:F359"/>
    </sheetView>
  </sheetViews>
  <sheetFormatPr defaultColWidth="0" defaultRowHeight="15" x14ac:dyDescent="0.25"/>
  <cols>
    <col min="1" max="2" width="9.140625" customWidth="1"/>
    <col min="3" max="3" width="41.5703125" bestFit="1" customWidth="1"/>
    <col min="4" max="4" width="14.28515625" bestFit="1" customWidth="1"/>
    <col min="5" max="5" width="9.140625" customWidth="1"/>
    <col min="6" max="6" width="17.5703125" bestFit="1" customWidth="1"/>
    <col min="7" max="7" width="9.140625" customWidth="1"/>
    <col min="8" max="8" width="57.140625" customWidth="1"/>
    <col min="9" max="12" width="0" hidden="1" customWidth="1"/>
    <col min="13" max="16384" width="9.140625" hidden="1"/>
  </cols>
  <sheetData>
    <row r="1" spans="1:8" x14ac:dyDescent="0.25">
      <c r="A1" s="1" t="s">
        <v>194</v>
      </c>
      <c r="B1" s="1" t="s">
        <v>179</v>
      </c>
      <c r="C1" s="1" t="s">
        <v>182</v>
      </c>
      <c r="D1" s="1" t="s">
        <v>183</v>
      </c>
      <c r="E1" s="1" t="s">
        <v>180</v>
      </c>
      <c r="F1" s="1" t="s">
        <v>181</v>
      </c>
      <c r="G1" s="1" t="s">
        <v>184</v>
      </c>
      <c r="H1" s="1" t="s">
        <v>185</v>
      </c>
    </row>
    <row r="2" spans="1:8" x14ac:dyDescent="0.25">
      <c r="A2">
        <f t="shared" ref="A2:A65" si="0">COUNTIF($B$2:$B$375,B2)</f>
        <v>1</v>
      </c>
      <c r="B2">
        <f>[1]!Numerize(MID(H2,FIND("=",H2),10))+0</f>
        <v>11274</v>
      </c>
      <c r="C2" t="str">
        <f>[1]!RegExpSubstitute(MID(H2,FIND("- ",H2)+2,FIND("- ",H2,FIND("- ",H2)+1)-FIND("- ",H2)-2),"\&amp;quot\;.*\&amp;quot\;\W","")</f>
        <v xml:space="preserve">Spencer Castle </v>
      </c>
      <c r="D2" t="str">
        <f>VLOOKUP(SUBSTITUTE(TRIM(MID(H2,FIND(",TPE:",H2)-3,3)),"- ",""),Index!E:F,2,FALSE)</f>
        <v>Cornerback</v>
      </c>
      <c r="E2" t="str">
        <f t="shared" ref="E2:E65" si="1">MID(H2,FIND("(",H2)+1,FIND(")",H2)-FIND("(",H2)-1)</f>
        <v>S13</v>
      </c>
      <c r="F2" t="s">
        <v>242</v>
      </c>
      <c r="G2">
        <f>MID(H2,FIND("TPE: ",H2)+5,FIND(", ",H2,FIND("TPE: ",H2))-FIND("TPE: ",H2)-5)+0</f>
        <v>383</v>
      </c>
      <c r="H2" t="s">
        <v>161</v>
      </c>
    </row>
    <row r="3" spans="1:8" x14ac:dyDescent="0.25">
      <c r="A3">
        <f t="shared" si="0"/>
        <v>1</v>
      </c>
      <c r="B3">
        <f t="shared" ref="B3:B66" si="2">[1]!Numerize(MID(H3,FIND("=",H3),10))+0</f>
        <v>11050</v>
      </c>
      <c r="C3" t="str">
        <f>[1]!RegExpSubstitute(MID(H3,FIND("- ",H3)+2,FIND("- ",H3,FIND("- ",H3)+1)-FIND("- ",H3)-2),"\&amp;quot\;.*\&amp;quot\;\W","")</f>
        <v xml:space="preserve">Ja'brill Tuck </v>
      </c>
      <c r="D3" t="str">
        <f>VLOOKUP(SUBSTITUTE(TRIM(MID(H3,FIND(",TPE:",H3)-3,3)),"- ",""),Index!E:F,2,FALSE)</f>
        <v>Defensive Line</v>
      </c>
      <c r="E3" t="str">
        <f t="shared" si="1"/>
        <v>S12</v>
      </c>
      <c r="F3" t="s">
        <v>242</v>
      </c>
      <c r="G3">
        <f t="shared" ref="G3:G66" si="3">MID(H3,FIND("TPE: ",H3)+5,FIND(", ",H3,FIND("TPE: ",H3))-FIND("TPE: ",H3)-5)+0</f>
        <v>273</v>
      </c>
      <c r="H3" t="s">
        <v>162</v>
      </c>
    </row>
    <row r="4" spans="1:8" x14ac:dyDescent="0.25">
      <c r="A4">
        <f t="shared" si="0"/>
        <v>1</v>
      </c>
      <c r="B4">
        <f t="shared" si="2"/>
        <v>11045</v>
      </c>
      <c r="C4" t="str">
        <f>[1]!RegExpSubstitute(MID(H4,FIND("- ",H4)+2,FIND("- ",H4,FIND("- ",H4)+1)-FIND("- ",H4)-2),"\&amp;quot\;.*\&amp;quot\;\W","")</f>
        <v xml:space="preserve">Neo Donaldson </v>
      </c>
      <c r="D4" t="str">
        <f>VLOOKUP(SUBSTITUTE(TRIM(MID(H4,FIND(",TPE:",H4)-3,3)),"- ",""),Index!E:F,2,FALSE)</f>
        <v>Kicker</v>
      </c>
      <c r="E4" t="str">
        <f t="shared" si="1"/>
        <v>S12</v>
      </c>
      <c r="F4" t="s">
        <v>242</v>
      </c>
      <c r="G4">
        <f t="shared" si="3"/>
        <v>257</v>
      </c>
      <c r="H4" t="s">
        <v>163</v>
      </c>
    </row>
    <row r="5" spans="1:8" x14ac:dyDescent="0.25">
      <c r="A5">
        <f t="shared" si="0"/>
        <v>1</v>
      </c>
      <c r="B5">
        <f t="shared" si="2"/>
        <v>11019</v>
      </c>
      <c r="C5" t="str">
        <f>[1]!RegExpSubstitute(MID(H5,FIND("- ",H5)+2,FIND("- ",H5,FIND("- ",H5)+1)-FIND("- ",H5)-2),"\&amp;quot\;.*\&amp;quot\;\W","")</f>
        <v xml:space="preserve">Jorel Tuck </v>
      </c>
      <c r="D5" t="str">
        <f>VLOOKUP(SUBSTITUTE(TRIM(MID(H5,FIND(",TPE:",H5)-3,3)),"- ",""),Index!E:F,2,FALSE)</f>
        <v>Safety</v>
      </c>
      <c r="E5" t="str">
        <f t="shared" si="1"/>
        <v>S12</v>
      </c>
      <c r="F5" t="s">
        <v>242</v>
      </c>
      <c r="G5">
        <f t="shared" si="3"/>
        <v>595</v>
      </c>
      <c r="H5" t="s">
        <v>285</v>
      </c>
    </row>
    <row r="6" spans="1:8" x14ac:dyDescent="0.25">
      <c r="A6">
        <f t="shared" si="0"/>
        <v>1</v>
      </c>
      <c r="B6">
        <f t="shared" si="2"/>
        <v>10732</v>
      </c>
      <c r="C6" t="str">
        <f>[1]!RegExpSubstitute(MID(H6,FIND("- ",H6)+2,FIND("- ",H6,FIND("- ",H6)+1)-FIND("- ",H6)-2),"\&amp;quot\;.*\&amp;quot\;\W","")</f>
        <v xml:space="preserve">Ronnie Williams </v>
      </c>
      <c r="D6" t="str">
        <f>VLOOKUP(SUBSTITUTE(TRIM(MID(H6,FIND(",TPE:",H6)-3,3)),"- ",""),Index!E:F,2,FALSE)</f>
        <v>Tight End</v>
      </c>
      <c r="E6" t="str">
        <f t="shared" si="1"/>
        <v>S12</v>
      </c>
      <c r="F6" t="s">
        <v>242</v>
      </c>
      <c r="G6">
        <f t="shared" si="3"/>
        <v>124</v>
      </c>
      <c r="H6" t="s">
        <v>164</v>
      </c>
    </row>
    <row r="7" spans="1:8" x14ac:dyDescent="0.25">
      <c r="A7">
        <f t="shared" si="0"/>
        <v>1</v>
      </c>
      <c r="B7">
        <f t="shared" si="2"/>
        <v>10671</v>
      </c>
      <c r="C7" t="str">
        <f>[1]!RegExpSubstitute(MID(H7,FIND("- ",H7)+2,FIND("- ",H7,FIND("- ",H7)+1)-FIND("- ",H7)-2),"\&amp;quot\;.*\&amp;quot\;\W","")</f>
        <v xml:space="preserve">Trey Staley </v>
      </c>
      <c r="D7" t="str">
        <f>VLOOKUP(SUBSTITUTE(TRIM(MID(H7,FIND(",TPE:",H7)-3,3)),"- ",""),Index!E:F,2,FALSE)</f>
        <v>Safety</v>
      </c>
      <c r="E7" t="str">
        <f t="shared" si="1"/>
        <v>S12</v>
      </c>
      <c r="F7" t="s">
        <v>242</v>
      </c>
      <c r="G7">
        <f t="shared" si="3"/>
        <v>479</v>
      </c>
      <c r="H7" t="s">
        <v>286</v>
      </c>
    </row>
    <row r="8" spans="1:8" x14ac:dyDescent="0.25">
      <c r="A8">
        <f t="shared" si="0"/>
        <v>1</v>
      </c>
      <c r="B8">
        <f t="shared" si="2"/>
        <v>10513</v>
      </c>
      <c r="C8" t="str">
        <f>[1]!RegExpSubstitute(MID(H8,FIND("- ",H8)+2,FIND("- ",H8,FIND("- ",H8)+1)-FIND("- ",H8)-2),"\&amp;quot\;.*\&amp;quot\;\W","")</f>
        <v xml:space="preserve">Freezer Riposte </v>
      </c>
      <c r="D8" t="str">
        <f>VLOOKUP(SUBSTITUTE(TRIM(MID(H8,FIND(",TPE:",H8)-3,3)),"- ",""),Index!E:F,2,FALSE)</f>
        <v>Defensive Line</v>
      </c>
      <c r="E8" t="str">
        <f t="shared" si="1"/>
        <v>S12</v>
      </c>
      <c r="F8" t="s">
        <v>242</v>
      </c>
      <c r="G8">
        <f t="shared" si="3"/>
        <v>633</v>
      </c>
      <c r="H8" t="s">
        <v>287</v>
      </c>
    </row>
    <row r="9" spans="1:8" x14ac:dyDescent="0.25">
      <c r="A9">
        <f t="shared" si="0"/>
        <v>1</v>
      </c>
      <c r="B9">
        <f t="shared" si="2"/>
        <v>10212</v>
      </c>
      <c r="C9" t="str">
        <f>[1]!RegExpSubstitute(MID(H9,FIND("- ",H9)+2,FIND("- ",H9,FIND("- ",H9)+1)-FIND("- ",H9)-2),"\&amp;quot\;.*\&amp;quot\;\W","")</f>
        <v xml:space="preserve">Jerrod Canton </v>
      </c>
      <c r="D9" t="str">
        <f>VLOOKUP(SUBSTITUTE(TRIM(MID(H9,FIND(",TPE:",H9)-3,3)),"- ",""),Index!E:F,2,FALSE)</f>
        <v>Runningback</v>
      </c>
      <c r="E9" t="str">
        <f t="shared" si="1"/>
        <v>S11</v>
      </c>
      <c r="F9" t="s">
        <v>242</v>
      </c>
      <c r="G9">
        <f t="shared" si="3"/>
        <v>689</v>
      </c>
      <c r="H9" t="s">
        <v>288</v>
      </c>
    </row>
    <row r="10" spans="1:8" x14ac:dyDescent="0.25">
      <c r="A10">
        <f t="shared" si="0"/>
        <v>1</v>
      </c>
      <c r="B10">
        <f t="shared" si="2"/>
        <v>10134</v>
      </c>
      <c r="C10" t="str">
        <f>[1]!RegExpSubstitute(MID(H10,FIND("- ",H10)+2,FIND("- ",H10,FIND("- ",H10)+1)-FIND("- ",H10)-2),"\&amp;quot\;.*\&amp;quot\;\W","")</f>
        <v xml:space="preserve">Ty Justice </v>
      </c>
      <c r="D10" t="str">
        <f>VLOOKUP(SUBSTITUTE(TRIM(MID(H10,FIND(",TPE:",H10)-3,3)),"- ",""),Index!E:F,2,FALSE)</f>
        <v>Wide Receiver</v>
      </c>
      <c r="E10" t="str">
        <f t="shared" si="1"/>
        <v>S11</v>
      </c>
      <c r="F10" t="s">
        <v>242</v>
      </c>
      <c r="G10">
        <f t="shared" si="3"/>
        <v>284</v>
      </c>
      <c r="H10" t="s">
        <v>165</v>
      </c>
    </row>
    <row r="11" spans="1:8" x14ac:dyDescent="0.25">
      <c r="A11">
        <f t="shared" si="0"/>
        <v>1</v>
      </c>
      <c r="B11">
        <f t="shared" si="2"/>
        <v>10052</v>
      </c>
      <c r="C11" t="str">
        <f>[1]!RegExpSubstitute(MID(H11,FIND("- ",H11)+2,FIND("- ",H11,FIND("- ",H11)+1)-FIND("- ",H11)-2),"\&amp;quot\;.*\&amp;quot\;\W","")</f>
        <v xml:space="preserve">Danny Methane </v>
      </c>
      <c r="D11" t="str">
        <f>VLOOKUP(SUBSTITUTE(TRIM(MID(H11,FIND(",TPE:",H11)-3,3)),"- ",""),Index!E:F,2,FALSE)</f>
        <v>Defensive Line</v>
      </c>
      <c r="E11" t="str">
        <f t="shared" si="1"/>
        <v>S11</v>
      </c>
      <c r="F11" t="s">
        <v>242</v>
      </c>
      <c r="G11">
        <f t="shared" si="3"/>
        <v>216</v>
      </c>
      <c r="H11" t="s">
        <v>166</v>
      </c>
    </row>
    <row r="12" spans="1:8" x14ac:dyDescent="0.25">
      <c r="A12">
        <f t="shared" si="0"/>
        <v>1</v>
      </c>
      <c r="B12">
        <f t="shared" si="2"/>
        <v>9979</v>
      </c>
      <c r="C12" t="str">
        <f>[1]!RegExpSubstitute(MID(H12,FIND("- ",H12)+2,FIND("- ",H12,FIND("- ",H12)+1)-FIND("- ",H12)-2),"\&amp;quot\;.*\&amp;quot\;\W","")</f>
        <v xml:space="preserve">Footballer Sackerman </v>
      </c>
      <c r="D12" t="str">
        <f>VLOOKUP(SUBSTITUTE(TRIM(MID(H12,FIND(",TPE:",H12)-3,3)),"- ",""),Index!E:F,2,FALSE)</f>
        <v>Defensive Line</v>
      </c>
      <c r="E12" t="str">
        <f t="shared" si="1"/>
        <v>S11</v>
      </c>
      <c r="F12" t="s">
        <v>242</v>
      </c>
      <c r="G12">
        <f t="shared" si="3"/>
        <v>458</v>
      </c>
      <c r="H12" t="s">
        <v>289</v>
      </c>
    </row>
    <row r="13" spans="1:8" x14ac:dyDescent="0.25">
      <c r="A13">
        <f t="shared" si="0"/>
        <v>1</v>
      </c>
      <c r="B13">
        <f t="shared" si="2"/>
        <v>9472</v>
      </c>
      <c r="C13" t="str">
        <f>[1]!RegExpSubstitute(MID(H13,FIND("- ",H13)+2,FIND("- ",H13,FIND("- ",H13)+1)-FIND("- ",H13)-2),"\&amp;quot\;.*\&amp;quot\;\W","")</f>
        <v xml:space="preserve">Xandra Troyski </v>
      </c>
      <c r="D13" t="str">
        <f>VLOOKUP(SUBSTITUTE(TRIM(MID(H13,FIND(",TPE:",H13)-3,3)),"- ",""),Index!E:F,2,FALSE)</f>
        <v>Cornerback</v>
      </c>
      <c r="E13" t="str">
        <f t="shared" si="1"/>
        <v>S10</v>
      </c>
      <c r="F13" t="s">
        <v>242</v>
      </c>
      <c r="G13">
        <f t="shared" si="3"/>
        <v>752</v>
      </c>
      <c r="H13" t="s">
        <v>290</v>
      </c>
    </row>
    <row r="14" spans="1:8" x14ac:dyDescent="0.25">
      <c r="A14">
        <f t="shared" si="0"/>
        <v>1</v>
      </c>
      <c r="B14">
        <f t="shared" si="2"/>
        <v>9383</v>
      </c>
      <c r="C14" t="str">
        <f>[1]!RegExpSubstitute(MID(H14,FIND("- ",H14)+2,FIND("- ",H14,FIND("- ",H14)+1)-FIND("- ",H14)-2),"\&amp;quot\;.*\&amp;quot\;\W","")</f>
        <v xml:space="preserve">Chris Orosz </v>
      </c>
      <c r="D14" t="str">
        <f>VLOOKUP(SUBSTITUTE(TRIM(MID(H14,FIND(",TPE:",H14)-3,3)),"- ",""),Index!E:F,2,FALSE)</f>
        <v>Runningback</v>
      </c>
      <c r="E14" t="str">
        <f t="shared" si="1"/>
        <v>S10</v>
      </c>
      <c r="F14" t="s">
        <v>242</v>
      </c>
      <c r="G14">
        <f t="shared" si="3"/>
        <v>461</v>
      </c>
      <c r="H14" t="s">
        <v>167</v>
      </c>
    </row>
    <row r="15" spans="1:8" x14ac:dyDescent="0.25">
      <c r="A15">
        <f t="shared" si="0"/>
        <v>1</v>
      </c>
      <c r="B15">
        <f t="shared" si="2"/>
        <v>9381</v>
      </c>
      <c r="C15" t="str">
        <f>[1]!RegExpSubstitute(MID(H15,FIND("- ",H15)+2,FIND("- ",H15,FIND("- ",H15)+1)-FIND("- ",H15)-2),"\&amp;quot\;.*\&amp;quot\;\W","")</f>
        <v xml:space="preserve">D'Pez Poopsie </v>
      </c>
      <c r="D15" t="str">
        <f>VLOOKUP(SUBSTITUTE(TRIM(MID(H15,FIND(",TPE:",H15)-3,3)),"- ",""),Index!E:F,2,FALSE)</f>
        <v>Defensive Line</v>
      </c>
      <c r="E15" t="str">
        <f t="shared" si="1"/>
        <v>S10</v>
      </c>
      <c r="F15" t="s">
        <v>242</v>
      </c>
      <c r="G15">
        <f t="shared" si="3"/>
        <v>1018</v>
      </c>
      <c r="H15" t="s">
        <v>291</v>
      </c>
    </row>
    <row r="16" spans="1:8" x14ac:dyDescent="0.25">
      <c r="A16">
        <f t="shared" si="0"/>
        <v>1</v>
      </c>
      <c r="B16">
        <f t="shared" si="2"/>
        <v>9239</v>
      </c>
      <c r="C16" t="str">
        <f>[1]!RegExpSubstitute(MID(H16,FIND("- ",H16)+2,FIND("- ",H16,FIND("- ",H16)+1)-FIND("- ",H16)-2),"\&amp;quot\;.*\&amp;quot\;\W","")</f>
        <v xml:space="preserve">Kazimir Oles </v>
      </c>
      <c r="D16" t="str">
        <f>VLOOKUP(SUBSTITUTE(TRIM(MID(H16,FIND(",TPE:",H16)-3,3)),"- ",""),Index!E:F,2,FALSE)</f>
        <v>Wide Receiver</v>
      </c>
      <c r="E16" t="str">
        <f t="shared" si="1"/>
        <v>S10</v>
      </c>
      <c r="F16" t="s">
        <v>242</v>
      </c>
      <c r="G16">
        <f t="shared" si="3"/>
        <v>1063</v>
      </c>
      <c r="H16" t="s">
        <v>292</v>
      </c>
    </row>
    <row r="17" spans="1:8" x14ac:dyDescent="0.25">
      <c r="A17">
        <f t="shared" si="0"/>
        <v>1</v>
      </c>
      <c r="B17">
        <f t="shared" si="2"/>
        <v>9189</v>
      </c>
      <c r="C17" t="str">
        <f>[1]!RegExpSubstitute(MID(H17,FIND("- ",H17)+2,FIND("- ",H17,FIND("- ",H17)+1)-FIND("- ",H17)-2),"\&amp;quot\;.*\&amp;quot\;\W","")</f>
        <v xml:space="preserve">Joliet L. Christ </v>
      </c>
      <c r="D17" t="str">
        <f>VLOOKUP(SUBSTITUTE(TRIM(MID(H17,FIND(",TPE:",H17)-3,3)),"- ",""),Index!E:F,2,FALSE)</f>
        <v>Quarterback</v>
      </c>
      <c r="E17" t="str">
        <f t="shared" si="1"/>
        <v>S10</v>
      </c>
      <c r="F17" t="s">
        <v>242</v>
      </c>
      <c r="G17">
        <f t="shared" si="3"/>
        <v>898</v>
      </c>
      <c r="H17" t="s">
        <v>293</v>
      </c>
    </row>
    <row r="18" spans="1:8" x14ac:dyDescent="0.25">
      <c r="A18">
        <f t="shared" si="0"/>
        <v>1</v>
      </c>
      <c r="B18">
        <f t="shared" si="2"/>
        <v>8851</v>
      </c>
      <c r="C18" t="str">
        <f>[1]!RegExpSubstitute(MID(H18,FIND("- ",H18)+2,FIND("- ",H18,FIND("- ",H18)+1)-FIND("- ",H18)-2),"\&amp;quot\;.*\&amp;quot\;\W","")</f>
        <v xml:space="preserve">Kolby Deringer </v>
      </c>
      <c r="D18" t="str">
        <f>VLOOKUP(SUBSTITUTE(TRIM(MID(H18,FIND(",TPE:",H18)-3,3)),"- ",""),Index!E:F,2,FALSE)</f>
        <v>Linebacker</v>
      </c>
      <c r="E18" t="str">
        <f t="shared" si="1"/>
        <v>S9</v>
      </c>
      <c r="F18" t="s">
        <v>242</v>
      </c>
      <c r="G18">
        <f t="shared" si="3"/>
        <v>1078</v>
      </c>
      <c r="H18" t="s">
        <v>294</v>
      </c>
    </row>
    <row r="19" spans="1:8" x14ac:dyDescent="0.25">
      <c r="A19">
        <f t="shared" si="0"/>
        <v>1</v>
      </c>
      <c r="B19">
        <f t="shared" si="2"/>
        <v>8717</v>
      </c>
      <c r="C19" t="str">
        <f>[1]!RegExpSubstitute(MID(H19,FIND("- ",H19)+2,FIND("- ",H19,FIND("- ",H19)+1)-FIND("- ",H19)-2),"\&amp;quot\;.*\&amp;quot\;\W","")</f>
        <v xml:space="preserve">Xavier Flash </v>
      </c>
      <c r="D19" t="str">
        <f>VLOOKUP(SUBSTITUTE(TRIM(MID(H19,FIND(",TPE:",H19)-3,3)),"- ",""),Index!E:F,2,FALSE)</f>
        <v>Wide Receiver</v>
      </c>
      <c r="E19" t="str">
        <f t="shared" si="1"/>
        <v>S9</v>
      </c>
      <c r="F19" t="s">
        <v>242</v>
      </c>
      <c r="G19">
        <f t="shared" si="3"/>
        <v>946</v>
      </c>
      <c r="H19" t="s">
        <v>295</v>
      </c>
    </row>
    <row r="20" spans="1:8" x14ac:dyDescent="0.25">
      <c r="A20">
        <f t="shared" si="0"/>
        <v>1</v>
      </c>
      <c r="B20">
        <f t="shared" si="2"/>
        <v>8551</v>
      </c>
      <c r="C20" t="str">
        <f>[1]!RegExpSubstitute(MID(H20,FIND("- ",H20)+2,FIND("- ",H20,FIND("- ",H20)+1)-FIND("- ",H20)-2),"\&amp;quot\;.*\&amp;quot\;\W","")</f>
        <v xml:space="preserve">Zapp Brannigan </v>
      </c>
      <c r="D20" t="str">
        <f>VLOOKUP(SUBSTITUTE(TRIM(MID(H20,FIND(",TPE:",H20)-3,3)),"- ",""),Index!E:F,2,FALSE)</f>
        <v>Tight End</v>
      </c>
      <c r="E20" t="str">
        <f t="shared" si="1"/>
        <v>S9</v>
      </c>
      <c r="F20" t="s">
        <v>242</v>
      </c>
      <c r="G20">
        <f t="shared" si="3"/>
        <v>581</v>
      </c>
      <c r="H20" t="s">
        <v>168</v>
      </c>
    </row>
    <row r="21" spans="1:8" x14ac:dyDescent="0.25">
      <c r="A21">
        <f t="shared" si="0"/>
        <v>1</v>
      </c>
      <c r="B21">
        <f t="shared" si="2"/>
        <v>7933</v>
      </c>
      <c r="C21" t="str">
        <f>[1]!RegExpSubstitute(MID(H21,FIND("- ",H21)+2,FIND("- ",H21,FIND("- ",H21)+1)-FIND("- ",H21)-2),"\&amp;quot\;.*\&amp;quot\;\W","")</f>
        <v xml:space="preserve">Thad Pennington </v>
      </c>
      <c r="D21" t="str">
        <f>VLOOKUP(SUBSTITUTE(TRIM(MID(H21,FIND(",TPE:",H21)-3,3)),"- ",""),Index!E:F,2,FALSE)</f>
        <v>Safety</v>
      </c>
      <c r="E21" t="str">
        <f t="shared" si="1"/>
        <v>S8</v>
      </c>
      <c r="F21" t="s">
        <v>242</v>
      </c>
      <c r="G21">
        <f t="shared" si="3"/>
        <v>742</v>
      </c>
      <c r="H21" t="s">
        <v>195</v>
      </c>
    </row>
    <row r="22" spans="1:8" x14ac:dyDescent="0.25">
      <c r="A22">
        <f t="shared" si="0"/>
        <v>1</v>
      </c>
      <c r="B22">
        <f t="shared" si="2"/>
        <v>7930</v>
      </c>
      <c r="C22" t="str">
        <f>[1]!RegExpSubstitute(MID(H22,FIND("- ",H22)+2,FIND("- ",H22,FIND("- ",H22)+1)-FIND("- ",H22)-2),"\&amp;quot\;.*\&amp;quot\;\W","")</f>
        <v xml:space="preserve">Chad Pennington </v>
      </c>
      <c r="D22" t="str">
        <f>VLOOKUP(SUBSTITUTE(TRIM(MID(H22,FIND(",TPE:",H22)-3,3)),"- ",""),Index!E:F,2,FALSE)</f>
        <v>Linebacker</v>
      </c>
      <c r="E22" t="str">
        <f t="shared" si="1"/>
        <v>S8</v>
      </c>
      <c r="F22" t="s">
        <v>242</v>
      </c>
      <c r="G22">
        <f t="shared" si="3"/>
        <v>1179</v>
      </c>
      <c r="H22" t="s">
        <v>296</v>
      </c>
    </row>
    <row r="23" spans="1:8" x14ac:dyDescent="0.25">
      <c r="A23">
        <f t="shared" si="0"/>
        <v>1</v>
      </c>
      <c r="B23">
        <f t="shared" si="2"/>
        <v>11114</v>
      </c>
      <c r="C23" t="str">
        <f>[1]!RegExpSubstitute(MID(H23,FIND("- ",H23)+2,FIND("- ",H23,FIND("- ",H23)+1)-FIND("- ",H23)-2),"\&amp;quot\;.*\&amp;quot\;\W","")</f>
        <v xml:space="preserve">Corey Trevor </v>
      </c>
      <c r="D23" t="str">
        <f>VLOOKUP(SUBSTITUTE(TRIM(MID(H23,FIND(",TPE:",H23)-3,3)),"- ",""),Index!E:F,2,FALSE)</f>
        <v>Runningback</v>
      </c>
      <c r="E23" t="str">
        <f t="shared" si="1"/>
        <v>S13</v>
      </c>
      <c r="F23" t="s">
        <v>243</v>
      </c>
      <c r="G23">
        <f t="shared" si="3"/>
        <v>190</v>
      </c>
      <c r="H23" t="s">
        <v>86</v>
      </c>
    </row>
    <row r="24" spans="1:8" x14ac:dyDescent="0.25">
      <c r="A24">
        <f t="shared" si="0"/>
        <v>1</v>
      </c>
      <c r="B24">
        <f t="shared" si="2"/>
        <v>11163</v>
      </c>
      <c r="C24" t="str">
        <f>[1]!RegExpSubstitute(MID(H24,FIND("- ",H24)+2,FIND("- ",H24,FIND("- ",H24)+1)-FIND("- ",H24)-2),"\&amp;quot\;.*\&amp;quot\;\W","")</f>
        <v xml:space="preserve">Alex Frost </v>
      </c>
      <c r="D24" t="str">
        <f>VLOOKUP(SUBSTITUTE(TRIM(MID(H24,FIND(",TPE:",H24)-3,3)),"- ",""),Index!E:F,2,FALSE)</f>
        <v>Kicker</v>
      </c>
      <c r="E24" t="str">
        <f t="shared" si="1"/>
        <v>S13</v>
      </c>
      <c r="F24" t="s">
        <v>243</v>
      </c>
      <c r="G24">
        <f t="shared" si="3"/>
        <v>141</v>
      </c>
      <c r="H24" t="s">
        <v>87</v>
      </c>
    </row>
    <row r="25" spans="1:8" x14ac:dyDescent="0.25">
      <c r="A25">
        <f t="shared" si="0"/>
        <v>1</v>
      </c>
      <c r="B25">
        <f t="shared" si="2"/>
        <v>10598</v>
      </c>
      <c r="C25" t="str">
        <f>[1]!RegExpSubstitute(MID(H25,FIND("- ",H25)+2,FIND("- ",H25,FIND("- ",H25)+1)-FIND("- ",H25)-2),"\&amp;quot\;.*\&amp;quot\;\W","")</f>
        <v xml:space="preserve">Arbin Asipi III </v>
      </c>
      <c r="D25" t="str">
        <f>VLOOKUP(SUBSTITUTE(TRIM(MID(H25,FIND(",TPE:",H25)-3,3)),"- ",""),Index!E:F,2,FALSE)</f>
        <v>Cornerback</v>
      </c>
      <c r="E25" t="str">
        <f t="shared" si="1"/>
        <v>S12</v>
      </c>
      <c r="F25" t="s">
        <v>243</v>
      </c>
      <c r="G25">
        <f t="shared" si="3"/>
        <v>491</v>
      </c>
      <c r="H25" t="s">
        <v>88</v>
      </c>
    </row>
    <row r="26" spans="1:8" x14ac:dyDescent="0.25">
      <c r="A26">
        <f t="shared" si="0"/>
        <v>1</v>
      </c>
      <c r="B26">
        <f t="shared" si="2"/>
        <v>10629</v>
      </c>
      <c r="C26" t="str">
        <f>[1]!RegExpSubstitute(MID(H26,FIND("- ",H26)+2,FIND("- ",H26,FIND("- ",H26)+1)-FIND("- ",H26)-2),"\&amp;quot\;.*\&amp;quot\;\W","")</f>
        <v xml:space="preserve">Charlie Trout </v>
      </c>
      <c r="D26" t="str">
        <f>VLOOKUP(SUBSTITUTE(TRIM(MID(H26,FIND(",TPE:",H26)-3,3)),"- ",""),Index!E:F,2,FALSE)</f>
        <v>Linebacker</v>
      </c>
      <c r="E26" t="str">
        <f t="shared" si="1"/>
        <v>S12</v>
      </c>
      <c r="F26" t="s">
        <v>243</v>
      </c>
      <c r="G26">
        <f t="shared" si="3"/>
        <v>655</v>
      </c>
      <c r="H26" t="s">
        <v>196</v>
      </c>
    </row>
    <row r="27" spans="1:8" x14ac:dyDescent="0.25">
      <c r="A27">
        <f t="shared" si="0"/>
        <v>1</v>
      </c>
      <c r="B27">
        <f t="shared" si="2"/>
        <v>10480</v>
      </c>
      <c r="C27" t="str">
        <f>[1]!RegExpSubstitute(MID(H27,FIND("- ",H27)+2,FIND("- ",H27,FIND("- ",H27)+1)-FIND("- ",H27)-2),"\&amp;quot\;.*\&amp;quot\;\W","")</f>
        <v xml:space="preserve">Errol Maddox </v>
      </c>
      <c r="D27" t="str">
        <f>VLOOKUP(SUBSTITUTE(TRIM(MID(H27,FIND(",TPE:",H27)-3,3)),"- ",""),Index!E:F,2,FALSE)</f>
        <v>Wide Receiver</v>
      </c>
      <c r="E27" t="str">
        <f t="shared" si="1"/>
        <v>S12</v>
      </c>
      <c r="F27" t="s">
        <v>243</v>
      </c>
      <c r="G27">
        <f t="shared" si="3"/>
        <v>709</v>
      </c>
      <c r="H27" t="s">
        <v>297</v>
      </c>
    </row>
    <row r="28" spans="1:8" x14ac:dyDescent="0.25">
      <c r="A28">
        <f t="shared" si="0"/>
        <v>1</v>
      </c>
      <c r="B28">
        <f t="shared" si="2"/>
        <v>10454</v>
      </c>
      <c r="C28" t="str">
        <f>[1]!RegExpSubstitute(MID(H28,FIND("- ",H28)+2,FIND("- ",H28,FIND("- ",H28)+1)-FIND("- ",H28)-2),"\&amp;quot\;.*\&amp;quot\;\W","")</f>
        <v xml:space="preserve">Thomas Clark </v>
      </c>
      <c r="D28" t="str">
        <f>VLOOKUP(SUBSTITUTE(TRIM(MID(H28,FIND(",TPE:",H28)-3,3)),"- ",""),Index!E:F,2,FALSE)</f>
        <v>Defensive Line</v>
      </c>
      <c r="E28" t="str">
        <f t="shared" si="1"/>
        <v>S12</v>
      </c>
      <c r="F28" t="s">
        <v>243</v>
      </c>
      <c r="G28">
        <f t="shared" si="3"/>
        <v>125</v>
      </c>
      <c r="H28" t="s">
        <v>60</v>
      </c>
    </row>
    <row r="29" spans="1:8" x14ac:dyDescent="0.25">
      <c r="A29">
        <f t="shared" si="0"/>
        <v>1</v>
      </c>
      <c r="B29">
        <f t="shared" si="2"/>
        <v>10429</v>
      </c>
      <c r="C29" t="str">
        <f>[1]!RegExpSubstitute(MID(H29,FIND("- ",H29)+2,FIND("- ",H29,FIND("- ",H29)+1)-FIND("- ",H29)-2),"\&amp;quot\;.*\&amp;quot\;\W","")</f>
        <v xml:space="preserve">Jaylin Hobbs </v>
      </c>
      <c r="D29" t="str">
        <f>VLOOKUP(SUBSTITUTE(TRIM(MID(H29,FIND(",TPE:",H29)-3,3)),"- ",""),Index!E:F,2,FALSE)</f>
        <v>Defensive Line</v>
      </c>
      <c r="E29" t="str">
        <f t="shared" si="1"/>
        <v>S11</v>
      </c>
      <c r="F29" t="s">
        <v>243</v>
      </c>
      <c r="G29">
        <f t="shared" si="3"/>
        <v>280</v>
      </c>
      <c r="H29" t="s">
        <v>197</v>
      </c>
    </row>
    <row r="30" spans="1:8" x14ac:dyDescent="0.25">
      <c r="A30">
        <f t="shared" si="0"/>
        <v>1</v>
      </c>
      <c r="B30">
        <f t="shared" si="2"/>
        <v>10024</v>
      </c>
      <c r="C30" t="str">
        <f>[1]!RegExpSubstitute(MID(H30,FIND("- ",H30)+2,FIND("- ",H30,FIND("- ",H30)+1)-FIND("- ",H30)-2),"\&amp;quot\;.*\&amp;quot\;\W","")</f>
        <v xml:space="preserve">Yulic Nagasawa </v>
      </c>
      <c r="D30" t="str">
        <f>VLOOKUP(SUBSTITUTE(TRIM(MID(H30,FIND(",TPE:",H30)-3,3)),"- ",""),Index!E:F,2,FALSE)</f>
        <v>Wide Receiver</v>
      </c>
      <c r="E30" t="str">
        <f t="shared" si="1"/>
        <v>S11</v>
      </c>
      <c r="F30" t="s">
        <v>243</v>
      </c>
      <c r="G30">
        <f t="shared" si="3"/>
        <v>500</v>
      </c>
      <c r="H30" t="s">
        <v>89</v>
      </c>
    </row>
    <row r="31" spans="1:8" x14ac:dyDescent="0.25">
      <c r="A31">
        <f t="shared" si="0"/>
        <v>1</v>
      </c>
      <c r="B31">
        <f t="shared" si="2"/>
        <v>9838</v>
      </c>
      <c r="C31" t="str">
        <f>[1]!RegExpSubstitute(MID(H31,FIND("- ",H31)+2,FIND("- ",H31,FIND("- ",H31)+1)-FIND("- ",H31)-2),"\&amp;quot\;.*\&amp;quot\;\W","")</f>
        <v xml:space="preserve">Kwame Abayomi Mbanefo </v>
      </c>
      <c r="D31" t="str">
        <f>VLOOKUP(SUBSTITUTE(TRIM(MID(H31,FIND(",TPE:",H31)-3,3)),"- ",""),Index!E:F,2,FALSE)</f>
        <v>Defensive Line</v>
      </c>
      <c r="E31" t="str">
        <f t="shared" si="1"/>
        <v>S11</v>
      </c>
      <c r="F31" t="s">
        <v>243</v>
      </c>
      <c r="G31">
        <f t="shared" si="3"/>
        <v>718</v>
      </c>
      <c r="H31" t="s">
        <v>298</v>
      </c>
    </row>
    <row r="32" spans="1:8" x14ac:dyDescent="0.25">
      <c r="A32">
        <f t="shared" si="0"/>
        <v>1</v>
      </c>
      <c r="B32">
        <f t="shared" si="2"/>
        <v>9412</v>
      </c>
      <c r="C32" t="str">
        <f>[1]!RegExpSubstitute(MID(H32,FIND("- ",H32)+2,FIND("- ",H32,FIND("- ",H32)+1)-FIND("- ",H32)-2),"\&amp;quot\;.*\&amp;quot\;\W","")</f>
        <v xml:space="preserve">Steven Oats </v>
      </c>
      <c r="D32" t="str">
        <f>VLOOKUP(SUBSTITUTE(TRIM(MID(H32,FIND(",TPE:",H32)-3,3)),"- ",""),Index!E:F,2,FALSE)</f>
        <v>Safety</v>
      </c>
      <c r="E32" t="str">
        <f t="shared" si="1"/>
        <v>S10</v>
      </c>
      <c r="F32" t="s">
        <v>243</v>
      </c>
      <c r="G32">
        <f t="shared" si="3"/>
        <v>395</v>
      </c>
      <c r="H32" t="s">
        <v>90</v>
      </c>
    </row>
    <row r="33" spans="1:8" x14ac:dyDescent="0.25">
      <c r="A33">
        <f t="shared" si="0"/>
        <v>1</v>
      </c>
      <c r="B33">
        <f t="shared" si="2"/>
        <v>9347</v>
      </c>
      <c r="C33" t="str">
        <f>[1]!RegExpSubstitute(MID(H33,FIND("- ",H33)+2,FIND("- ",H33,FIND("- ",H33)+1)-FIND("- ",H33)-2),"\&amp;quot\;.*\&amp;quot\;\W","")</f>
        <v xml:space="preserve">Achilles Hondo </v>
      </c>
      <c r="D33" t="str">
        <f>VLOOKUP(SUBSTITUTE(TRIM(MID(H33,FIND(",TPE:",H33)-3,3)),"- ",""),Index!E:F,2,FALSE)</f>
        <v>Cornerback</v>
      </c>
      <c r="E33" t="str">
        <f t="shared" si="1"/>
        <v>S10</v>
      </c>
      <c r="F33" t="s">
        <v>243</v>
      </c>
      <c r="G33">
        <f t="shared" si="3"/>
        <v>685</v>
      </c>
      <c r="H33" t="s">
        <v>91</v>
      </c>
    </row>
    <row r="34" spans="1:8" x14ac:dyDescent="0.25">
      <c r="A34">
        <f t="shared" si="0"/>
        <v>1</v>
      </c>
      <c r="B34">
        <f t="shared" si="2"/>
        <v>8834</v>
      </c>
      <c r="C34" t="str">
        <f>[1]!RegExpSubstitute(MID(H34,FIND("- ",H34)+2,FIND("- ",H34,FIND("- ",H34)+1)-FIND("- ",H34)-2),"\&amp;quot\;.*\&amp;quot\;\W","")</f>
        <v xml:space="preserve">Marquise Brown </v>
      </c>
      <c r="D34" t="str">
        <f>VLOOKUP(SUBSTITUTE(TRIM(MID(H34,FIND(",TPE:",H34)-3,3)),"- ",""),Index!E:F,2,FALSE)</f>
        <v>Runningback</v>
      </c>
      <c r="E34" t="str">
        <f t="shared" si="1"/>
        <v>S9</v>
      </c>
      <c r="F34" t="s">
        <v>243</v>
      </c>
      <c r="G34">
        <f t="shared" si="3"/>
        <v>990</v>
      </c>
      <c r="H34" t="s">
        <v>299</v>
      </c>
    </row>
    <row r="35" spans="1:8" x14ac:dyDescent="0.25">
      <c r="A35">
        <f t="shared" si="0"/>
        <v>1</v>
      </c>
      <c r="B35">
        <f t="shared" si="2"/>
        <v>8751</v>
      </c>
      <c r="C35" t="str">
        <f>[1]!RegExpSubstitute(MID(H35,FIND("- ",H35)+2,FIND("- ",H35,FIND("- ",H35)+1)-FIND("- ",H35)-2),"\&amp;quot\;.*\&amp;quot\;\W","")</f>
        <v xml:space="preserve">Vinny Valentine </v>
      </c>
      <c r="D35" t="str">
        <f>VLOOKUP(SUBSTITUTE(TRIM(MID(H35,FIND(",TPE:",H35)-3,3)),"- ",""),Index!E:F,2,FALSE)</f>
        <v>Wide Receiver</v>
      </c>
      <c r="E35" t="str">
        <f t="shared" si="1"/>
        <v>S9</v>
      </c>
      <c r="F35" t="s">
        <v>243</v>
      </c>
      <c r="G35">
        <f t="shared" si="3"/>
        <v>1002</v>
      </c>
      <c r="H35" t="s">
        <v>300</v>
      </c>
    </row>
    <row r="36" spans="1:8" x14ac:dyDescent="0.25">
      <c r="A36">
        <f t="shared" si="0"/>
        <v>1</v>
      </c>
      <c r="B36">
        <f t="shared" si="2"/>
        <v>8580</v>
      </c>
      <c r="C36" t="str">
        <f>[1]!RegExpSubstitute(MID(H36,FIND("- ",H36)+2,FIND("- ",H36,FIND("- ",H36)+1)-FIND("- ",H36)-2),"\&amp;quot\;.*\&amp;quot\;\W","")</f>
        <v xml:space="preserve">Declan Harp </v>
      </c>
      <c r="D36" t="str">
        <f>VLOOKUP(SUBSTITUTE(TRIM(MID(H36,FIND(",TPE:",H36)-3,3)),"- ",""),Index!E:F,2,FALSE)</f>
        <v>Tight End</v>
      </c>
      <c r="E36" t="str">
        <f t="shared" si="1"/>
        <v>S9</v>
      </c>
      <c r="F36" t="s">
        <v>243</v>
      </c>
      <c r="G36">
        <f t="shared" si="3"/>
        <v>740</v>
      </c>
      <c r="H36" t="s">
        <v>92</v>
      </c>
    </row>
    <row r="37" spans="1:8" x14ac:dyDescent="0.25">
      <c r="A37">
        <f t="shared" si="0"/>
        <v>1</v>
      </c>
      <c r="B37">
        <f t="shared" si="2"/>
        <v>8172</v>
      </c>
      <c r="C37" t="str">
        <f>[1]!RegExpSubstitute(MID(H37,FIND("- ",H37)+2,FIND("- ",H37,FIND("- ",H37)+1)-FIND("- ",H37)-2),"\&amp;quot\;.*\&amp;quot\;\W","")</f>
        <v xml:space="preserve">Ben Horne </v>
      </c>
      <c r="D37" t="str">
        <f>VLOOKUP(SUBSTITUTE(TRIM(MID(H37,FIND(",TPE:",H37)-3,3)),"- ",""),Index!E:F,2,FALSE)</f>
        <v>Linebacker</v>
      </c>
      <c r="E37" t="str">
        <f t="shared" si="1"/>
        <v>S8</v>
      </c>
      <c r="F37" t="s">
        <v>243</v>
      </c>
      <c r="G37">
        <f t="shared" si="3"/>
        <v>1006</v>
      </c>
      <c r="H37" t="s">
        <v>301</v>
      </c>
    </row>
    <row r="38" spans="1:8" x14ac:dyDescent="0.25">
      <c r="A38">
        <f t="shared" si="0"/>
        <v>1</v>
      </c>
      <c r="B38">
        <f t="shared" si="2"/>
        <v>7976</v>
      </c>
      <c r="C38" t="str">
        <f>[1]!RegExpSubstitute(MID(H38,FIND("- ",H38)+2,FIND("- ",H38,FIND("- ",H38)+1)-FIND("- ",H38)-2),"\&amp;quot\;.*\&amp;quot\;\W","")</f>
        <v xml:space="preserve">Childish Gambino </v>
      </c>
      <c r="D38" t="str">
        <f>VLOOKUP(SUBSTITUTE(TRIM(MID(H38,FIND(",TPE:",H38)-3,3)),"- ",""),Index!E:F,2,FALSE)</f>
        <v>Quarterback</v>
      </c>
      <c r="E38" t="str">
        <f t="shared" si="1"/>
        <v>S8</v>
      </c>
      <c r="F38" t="s">
        <v>243</v>
      </c>
      <c r="G38">
        <f t="shared" si="3"/>
        <v>1048</v>
      </c>
      <c r="H38" t="s">
        <v>302</v>
      </c>
    </row>
    <row r="39" spans="1:8" x14ac:dyDescent="0.25">
      <c r="A39">
        <f t="shared" si="0"/>
        <v>1</v>
      </c>
      <c r="B39">
        <f t="shared" si="2"/>
        <v>7710</v>
      </c>
      <c r="C39" t="str">
        <f>[1]!RegExpSubstitute(MID(H39,FIND("- ",H39)+2,FIND("- ",H39,FIND("- ",H39)+1)-FIND("- ",H39)-2),"\&amp;quot\;.*\&amp;quot\;\W","")</f>
        <v xml:space="preserve">Verso L'Alto </v>
      </c>
      <c r="D39" t="str">
        <f>VLOOKUP(SUBSTITUTE(TRIM(MID(H39,FIND(",TPE:",H39)-3,3)),"- ",""),Index!E:F,2,FALSE)</f>
        <v>Tight End</v>
      </c>
      <c r="E39" t="str">
        <f t="shared" si="1"/>
        <v>S7</v>
      </c>
      <c r="F39" t="s">
        <v>243</v>
      </c>
      <c r="G39">
        <f t="shared" si="3"/>
        <v>1187</v>
      </c>
      <c r="H39" t="s">
        <v>303</v>
      </c>
    </row>
    <row r="40" spans="1:8" x14ac:dyDescent="0.25">
      <c r="A40">
        <f t="shared" si="0"/>
        <v>1</v>
      </c>
      <c r="B40">
        <f t="shared" si="2"/>
        <v>6510</v>
      </c>
      <c r="C40" t="str">
        <f>[1]!RegExpSubstitute(MID(H40,FIND("- ",H40)+2,FIND("- ",H40,FIND("- ",H40)+1)-FIND("- ",H40)-2),"\&amp;quot\;.*\&amp;quot\;\W","")</f>
        <v xml:space="preserve">Austin Roenick </v>
      </c>
      <c r="D40" t="str">
        <f>VLOOKUP(SUBSTITUTE(TRIM(MID(H40,FIND(",TPE:",H40)-3,3)),"- ",""),Index!E:F,2,FALSE)</f>
        <v>Linebacker</v>
      </c>
      <c r="E40" t="str">
        <f t="shared" si="1"/>
        <v>S6</v>
      </c>
      <c r="F40" t="s">
        <v>243</v>
      </c>
      <c r="G40">
        <f t="shared" si="3"/>
        <v>833</v>
      </c>
      <c r="H40" t="s">
        <v>304</v>
      </c>
    </row>
    <row r="41" spans="1:8" x14ac:dyDescent="0.25">
      <c r="A41">
        <f t="shared" si="0"/>
        <v>1</v>
      </c>
      <c r="B41">
        <f t="shared" si="2"/>
        <v>5358</v>
      </c>
      <c r="C41" t="str">
        <f>[1]!RegExpSubstitute(MID(H41,FIND("- ",H41)+2,FIND("- ",H41,FIND("- ",H41)+1)-FIND("- ",H41)-2),"\&amp;quot\;.*\&amp;quot\;\W","")</f>
        <v xml:space="preserve">Gregory Fletcher </v>
      </c>
      <c r="D41" t="str">
        <f>VLOOKUP(SUBSTITUTE(TRIM(MID(H41,FIND(",TPE:",H41)-3,3)),"- ",""),Index!E:F,2,FALSE)</f>
        <v>Cornerback</v>
      </c>
      <c r="E41" t="str">
        <f t="shared" si="1"/>
        <v>S5</v>
      </c>
      <c r="F41" t="s">
        <v>243</v>
      </c>
      <c r="G41">
        <f t="shared" si="3"/>
        <v>229</v>
      </c>
      <c r="H41" t="s">
        <v>93</v>
      </c>
    </row>
    <row r="42" spans="1:8" x14ac:dyDescent="0.25">
      <c r="A42">
        <f t="shared" si="0"/>
        <v>1</v>
      </c>
      <c r="B42">
        <f t="shared" si="2"/>
        <v>5130</v>
      </c>
      <c r="C42" t="str">
        <f>[1]!RegExpSubstitute(MID(H42,FIND("- ",H42)+2,FIND("- ",H42,FIND("- ",H42)+1)-FIND("- ",H42)-2),"\&amp;quot\;.*\&amp;quot\;\W","")</f>
        <v xml:space="preserve">Andre Bly Jr. </v>
      </c>
      <c r="D42" t="str">
        <f>VLOOKUP(SUBSTITUTE(TRIM(MID(H42,FIND(",TPE:",H42)-3,3)),"- ",""),Index!E:F,2,FALSE)</f>
        <v>Cornerback</v>
      </c>
      <c r="E42" t="str">
        <f t="shared" si="1"/>
        <v>S5</v>
      </c>
      <c r="F42" t="s">
        <v>243</v>
      </c>
      <c r="G42">
        <f t="shared" si="3"/>
        <v>410</v>
      </c>
      <c r="H42" t="s">
        <v>94</v>
      </c>
    </row>
    <row r="43" spans="1:8" x14ac:dyDescent="0.25">
      <c r="A43">
        <f t="shared" si="0"/>
        <v>1</v>
      </c>
      <c r="B43">
        <f t="shared" si="2"/>
        <v>4964</v>
      </c>
      <c r="C43" t="str">
        <f>[1]!RegExpSubstitute(MID(H43,FIND("- ",H43)+2,FIND("- ",H43,FIND("- ",H43)+1)-FIND("- ",H43)-2),"\&amp;quot\;.*\&amp;quot\;\W","")</f>
        <v xml:space="preserve">Blackford Oakes </v>
      </c>
      <c r="D43" t="str">
        <f>VLOOKUP(SUBSTITUTE(TRIM(MID(H43,FIND(",TPE:",H43)-3,3)),"- ",""),Index!E:F,2,FALSE)</f>
        <v>Safety</v>
      </c>
      <c r="E43" t="str">
        <f t="shared" si="1"/>
        <v>S4</v>
      </c>
      <c r="F43" t="s">
        <v>243</v>
      </c>
      <c r="G43">
        <f t="shared" si="3"/>
        <v>485</v>
      </c>
      <c r="H43" t="s">
        <v>305</v>
      </c>
    </row>
    <row r="44" spans="1:8" x14ac:dyDescent="0.25">
      <c r="A44">
        <f t="shared" si="0"/>
        <v>1</v>
      </c>
      <c r="B44">
        <f t="shared" si="2"/>
        <v>11072</v>
      </c>
      <c r="C44" t="str">
        <f>[1]!RegExpSubstitute(MID(H44,FIND("- ",H44)+2,FIND("- ",H44,FIND("- ",H44)+1)-FIND("- ",H44)-2),"\&amp;quot\;.*\&amp;quot\;\W","")</f>
        <v xml:space="preserve">Caleb McCoy </v>
      </c>
      <c r="D44" t="str">
        <f>VLOOKUP(SUBSTITUTE(TRIM(MID(H44,FIND(",TPE:",H44)-3,3)),"- ",""),Index!E:F,2,FALSE)</f>
        <v>Safety</v>
      </c>
      <c r="E44" t="str">
        <f t="shared" si="1"/>
        <v>S13</v>
      </c>
      <c r="F44" t="s">
        <v>244</v>
      </c>
      <c r="G44">
        <f t="shared" si="3"/>
        <v>243</v>
      </c>
      <c r="H44" t="s">
        <v>198</v>
      </c>
    </row>
    <row r="45" spans="1:8" x14ac:dyDescent="0.25">
      <c r="A45">
        <f t="shared" si="0"/>
        <v>1</v>
      </c>
      <c r="B45">
        <f t="shared" si="2"/>
        <v>10967</v>
      </c>
      <c r="C45" t="str">
        <f>[1]!RegExpSubstitute(MID(H45,FIND("- ",H45)+2,FIND("- ",H45,FIND("- ",H45)+1)-FIND("- ",H45)-2),"\&amp;quot\;.*\&amp;quot\;\W","")</f>
        <v xml:space="preserve">Joey Sachs </v>
      </c>
      <c r="D45" t="str">
        <f>VLOOKUP(SUBSTITUTE(TRIM(MID(H45,FIND(",TPE:",H45)-3,3)),"- ",""),Index!E:F,2,FALSE)</f>
        <v>Defensive Line</v>
      </c>
      <c r="E45" t="str">
        <f t="shared" si="1"/>
        <v>S12</v>
      </c>
      <c r="F45" t="s">
        <v>244</v>
      </c>
      <c r="G45">
        <f t="shared" si="3"/>
        <v>162</v>
      </c>
      <c r="H45" t="s">
        <v>95</v>
      </c>
    </row>
    <row r="46" spans="1:8" x14ac:dyDescent="0.25">
      <c r="A46">
        <f t="shared" si="0"/>
        <v>1</v>
      </c>
      <c r="B46">
        <f t="shared" si="2"/>
        <v>10834</v>
      </c>
      <c r="C46" t="str">
        <f>[1]!RegExpSubstitute(MID(H46,FIND("- ",H46)+2,FIND("- ",H46,FIND("- ",H46)+1)-FIND("- ",H46)-2),"\&amp;quot\;.*\&amp;quot\;\W","")</f>
        <v xml:space="preserve">Soupy McBrain </v>
      </c>
      <c r="D46" t="str">
        <f>VLOOKUP(SUBSTITUTE(TRIM(MID(H46,FIND(",TPE:",H46)-3,3)),"- ",""),Index!E:F,2,FALSE)</f>
        <v>Linebacker</v>
      </c>
      <c r="E46" t="str">
        <f t="shared" si="1"/>
        <v>S12</v>
      </c>
      <c r="F46" t="s">
        <v>244</v>
      </c>
      <c r="G46">
        <f t="shared" si="3"/>
        <v>155</v>
      </c>
      <c r="H46" t="s">
        <v>96</v>
      </c>
    </row>
    <row r="47" spans="1:8" x14ac:dyDescent="0.25">
      <c r="A47">
        <f t="shared" si="0"/>
        <v>1</v>
      </c>
      <c r="B47">
        <f t="shared" si="2"/>
        <v>10712</v>
      </c>
      <c r="C47" t="str">
        <f>[1]!RegExpSubstitute(MID(H47,FIND("- ",H47)+2,FIND("- ",H47,FIND("- ",H47)+1)-FIND("- ",H47)-2),"\&amp;quot\;.*\&amp;quot\;\W","")</f>
        <v xml:space="preserve">Jonathan Towers </v>
      </c>
      <c r="D47" t="str">
        <f>VLOOKUP(SUBSTITUTE(TRIM(MID(H47,FIND(",TPE:",H47)-3,3)),"- ",""),Index!E:F,2,FALSE)</f>
        <v>Safety</v>
      </c>
      <c r="E47" t="str">
        <f t="shared" si="1"/>
        <v>S12</v>
      </c>
      <c r="F47" t="s">
        <v>244</v>
      </c>
      <c r="G47">
        <f t="shared" si="3"/>
        <v>182</v>
      </c>
      <c r="H47" t="s">
        <v>97</v>
      </c>
    </row>
    <row r="48" spans="1:8" x14ac:dyDescent="0.25">
      <c r="A48">
        <f t="shared" si="0"/>
        <v>1</v>
      </c>
      <c r="B48">
        <f t="shared" si="2"/>
        <v>10708</v>
      </c>
      <c r="C48" t="str">
        <f>[1]!RegExpSubstitute(MID(H48,FIND("- ",H48)+2,FIND("- ",H48,FIND("- ",H48)+1)-FIND("- ",H48)-2),"\&amp;quot\;.*\&amp;quot\;\W","")</f>
        <v xml:space="preserve">Axel Hornbacher </v>
      </c>
      <c r="D48" t="str">
        <f>VLOOKUP(SUBSTITUTE(TRIM(MID(H48,FIND(",TPE:",H48)-3,3)),"- ",""),Index!E:F,2,FALSE)</f>
        <v>Cornerback</v>
      </c>
      <c r="E48" t="str">
        <f t="shared" si="1"/>
        <v>S12</v>
      </c>
      <c r="F48" t="s">
        <v>244</v>
      </c>
      <c r="G48">
        <f t="shared" si="3"/>
        <v>626</v>
      </c>
      <c r="H48" t="s">
        <v>199</v>
      </c>
    </row>
    <row r="49" spans="1:8" x14ac:dyDescent="0.25">
      <c r="A49">
        <f t="shared" si="0"/>
        <v>1</v>
      </c>
      <c r="B49">
        <f t="shared" si="2"/>
        <v>10657</v>
      </c>
      <c r="C49" t="str">
        <f>[1]!RegExpSubstitute(MID(H49,FIND("- ",H49)+2,FIND("- ",H49,FIND("- ",H49)+1)-FIND("- ",H49)-2),"\&amp;quot\;.*\&amp;quot\;\W","")</f>
        <v xml:space="preserve">Beau Montgomery </v>
      </c>
      <c r="D49" t="str">
        <f>VLOOKUP(SUBSTITUTE(TRIM(MID(H49,FIND(",TPE:",H49)-3,3)),"- ",""),Index!E:F,2,FALSE)</f>
        <v>Cornerback</v>
      </c>
      <c r="E49" t="str">
        <f t="shared" si="1"/>
        <v>S12</v>
      </c>
      <c r="F49" t="s">
        <v>244</v>
      </c>
      <c r="G49">
        <f t="shared" si="3"/>
        <v>446</v>
      </c>
      <c r="H49" t="s">
        <v>306</v>
      </c>
    </row>
    <row r="50" spans="1:8" x14ac:dyDescent="0.25">
      <c r="A50">
        <f t="shared" si="0"/>
        <v>1</v>
      </c>
      <c r="B50">
        <f t="shared" si="2"/>
        <v>10573</v>
      </c>
      <c r="C50" t="str">
        <f>[1]!RegExpSubstitute(MID(H50,FIND("- ",H50)+2,FIND("- ",H50,FIND("- ",H50)+1)-FIND("- ",H50)-2),"\&amp;quot\;.*\&amp;quot\;\W","")</f>
        <v xml:space="preserve">Logan Lejune </v>
      </c>
      <c r="D50" t="str">
        <f>VLOOKUP(SUBSTITUTE(TRIM(MID(H50,FIND(",TPE:",H50)-3,3)),"- ",""),Index!E:F,2,FALSE)</f>
        <v>Linebacker</v>
      </c>
      <c r="E50" t="str">
        <f t="shared" si="1"/>
        <v>S12</v>
      </c>
      <c r="F50" t="s">
        <v>244</v>
      </c>
      <c r="G50">
        <f t="shared" si="3"/>
        <v>514</v>
      </c>
      <c r="H50" t="s">
        <v>307</v>
      </c>
    </row>
    <row r="51" spans="1:8" x14ac:dyDescent="0.25">
      <c r="A51">
        <f t="shared" si="0"/>
        <v>1</v>
      </c>
      <c r="B51">
        <f t="shared" si="2"/>
        <v>10550</v>
      </c>
      <c r="C51" t="str">
        <f>[1]!RegExpSubstitute(MID(H51,FIND("- ",H51)+2,FIND("- ",H51,FIND("- ",H51)+1)-FIND("- ",H51)-2),"\&amp;quot\;.*\&amp;quot\;\W","")</f>
        <v xml:space="preserve">Sam Garrad </v>
      </c>
      <c r="D51" t="str">
        <f>VLOOKUP(SUBSTITUTE(TRIM(MID(H51,FIND(",TPE:",H51)-3,3)),"- ",""),Index!E:F,2,FALSE)</f>
        <v>Defensive Line</v>
      </c>
      <c r="E51" t="str">
        <f t="shared" si="1"/>
        <v>S12</v>
      </c>
      <c r="F51" t="s">
        <v>244</v>
      </c>
      <c r="G51">
        <f t="shared" si="3"/>
        <v>249</v>
      </c>
      <c r="H51" t="s">
        <v>98</v>
      </c>
    </row>
    <row r="52" spans="1:8" x14ac:dyDescent="0.25">
      <c r="A52">
        <f t="shared" si="0"/>
        <v>1</v>
      </c>
      <c r="B52">
        <f t="shared" si="2"/>
        <v>10524</v>
      </c>
      <c r="C52" t="str">
        <f>[1]!RegExpSubstitute(MID(H52,FIND("- ",H52)+2,FIND("- ",H52,FIND("- ",H52)+1)-FIND("- ",H52)-2),"\&amp;quot\;.*\&amp;quot\;\W","")</f>
        <v xml:space="preserve">James Bishop </v>
      </c>
      <c r="D52" t="str">
        <f>VLOOKUP(SUBSTITUTE(TRIM(MID(H52,FIND(",TPE:",H52)-3,3)),"- ",""),Index!E:F,2,FALSE)</f>
        <v>Wide Receiver</v>
      </c>
      <c r="E52" t="str">
        <f t="shared" si="1"/>
        <v>S12</v>
      </c>
      <c r="F52" t="s">
        <v>244</v>
      </c>
      <c r="G52">
        <f t="shared" si="3"/>
        <v>705</v>
      </c>
      <c r="H52" t="s">
        <v>308</v>
      </c>
    </row>
    <row r="53" spans="1:8" x14ac:dyDescent="0.25">
      <c r="A53">
        <f t="shared" si="0"/>
        <v>1</v>
      </c>
      <c r="B53">
        <f t="shared" si="2"/>
        <v>9786</v>
      </c>
      <c r="C53" t="str">
        <f>[1]!RegExpSubstitute(MID(H53,FIND("- ",H53)+2,FIND("- ",H53,FIND("- ",H53)+1)-FIND("- ",H53)-2),"\&amp;quot\;.*\&amp;quot\;\W","")</f>
        <v xml:space="preserve">Devo Cansino </v>
      </c>
      <c r="D53" t="str">
        <f>VLOOKUP(SUBSTITUTE(TRIM(MID(H53,FIND(",TPE:",H53)-3,3)),"- ",""),Index!E:F,2,FALSE)</f>
        <v>Runningback</v>
      </c>
      <c r="E53" t="str">
        <f t="shared" si="1"/>
        <v>S10</v>
      </c>
      <c r="F53" t="s">
        <v>244</v>
      </c>
      <c r="G53">
        <f t="shared" si="3"/>
        <v>327</v>
      </c>
      <c r="H53" t="s">
        <v>309</v>
      </c>
    </row>
    <row r="54" spans="1:8" x14ac:dyDescent="0.25">
      <c r="A54">
        <f t="shared" si="0"/>
        <v>1</v>
      </c>
      <c r="B54">
        <f t="shared" si="2"/>
        <v>9401</v>
      </c>
      <c r="C54" t="str">
        <f>[1]!RegExpSubstitute(MID(H54,FIND("- ",H54)+2,FIND("- ",H54,FIND("- ",H54)+1)-FIND("- ",H54)-2),"\&amp;quot\;.*\&amp;quot\;\W","")</f>
        <v xml:space="preserve">Odell Marrett </v>
      </c>
      <c r="D54" t="str">
        <f>VLOOKUP(SUBSTITUTE(TRIM(MID(H54,FIND(",TPE:",H54)-3,3)),"- ",""),Index!E:F,2,FALSE)</f>
        <v>Defensive Line</v>
      </c>
      <c r="E54" t="str">
        <f t="shared" si="1"/>
        <v>S10</v>
      </c>
      <c r="F54" t="s">
        <v>244</v>
      </c>
      <c r="G54">
        <f t="shared" si="3"/>
        <v>97</v>
      </c>
      <c r="H54" t="s">
        <v>99</v>
      </c>
    </row>
    <row r="55" spans="1:8" x14ac:dyDescent="0.25">
      <c r="A55">
        <f t="shared" si="0"/>
        <v>1</v>
      </c>
      <c r="B55">
        <f t="shared" si="2"/>
        <v>9229</v>
      </c>
      <c r="C55" t="str">
        <f>[1]!RegExpSubstitute(MID(H55,FIND("- ",H55)+2,FIND("- ",H55,FIND("- ",H55)+1)-FIND("- ",H55)-2),"\&amp;quot\;.*\&amp;quot\;\W","")</f>
        <v xml:space="preserve">Lucari Felix </v>
      </c>
      <c r="D55" t="str">
        <f>VLOOKUP(SUBSTITUTE(TRIM(MID(H55,FIND(",TPE:",H55)-3,3)),"- ",""),Index!E:F,2,FALSE)</f>
        <v>Cornerback</v>
      </c>
      <c r="E55" t="str">
        <f t="shared" si="1"/>
        <v>S10</v>
      </c>
      <c r="F55" t="s">
        <v>244</v>
      </c>
      <c r="G55">
        <f t="shared" si="3"/>
        <v>468</v>
      </c>
      <c r="H55" t="s">
        <v>159</v>
      </c>
    </row>
    <row r="56" spans="1:8" x14ac:dyDescent="0.25">
      <c r="A56">
        <f t="shared" si="0"/>
        <v>1</v>
      </c>
      <c r="B56">
        <f t="shared" si="2"/>
        <v>9037</v>
      </c>
      <c r="C56" t="str">
        <f>[1]!RegExpSubstitute(MID(H56,FIND("- ",H56)+2,FIND("- ",H56,FIND("- ",H56)+1)-FIND("- ",H56)-2),"\&amp;quot\;.*\&amp;quot\;\W","")</f>
        <v xml:space="preserve">Oskar Ludvig </v>
      </c>
      <c r="D56" t="str">
        <f>VLOOKUP(SUBSTITUTE(TRIM(MID(H56,FIND(",TPE:",H56)-3,3)),"- ",""),Index!E:F,2,FALSE)</f>
        <v>Cornerback</v>
      </c>
      <c r="E56" t="str">
        <f t="shared" si="1"/>
        <v>S9</v>
      </c>
      <c r="F56" t="s">
        <v>244</v>
      </c>
      <c r="G56">
        <f t="shared" si="3"/>
        <v>130</v>
      </c>
      <c r="H56" t="s">
        <v>100</v>
      </c>
    </row>
    <row r="57" spans="1:8" x14ac:dyDescent="0.25">
      <c r="A57">
        <f t="shared" si="0"/>
        <v>1</v>
      </c>
      <c r="B57">
        <f t="shared" si="2"/>
        <v>9009</v>
      </c>
      <c r="C57" t="str">
        <f>[1]!RegExpSubstitute(MID(H57,FIND("- ",H57)+2,FIND("- ",H57,FIND("- ",H57)+1)-FIND("- ",H57)-2),"\&amp;quot\;.*\&amp;quot\;\W","")</f>
        <v xml:space="preserve">Kyle Corbett </v>
      </c>
      <c r="D57" t="str">
        <f>VLOOKUP(SUBSTITUTE(TRIM(MID(H57,FIND(",TPE:",H57)-3,3)),"- ",""),Index!E:F,2,FALSE)</f>
        <v>Kicker</v>
      </c>
      <c r="E57" t="str">
        <f t="shared" si="1"/>
        <v>S9</v>
      </c>
      <c r="F57" t="s">
        <v>244</v>
      </c>
      <c r="G57">
        <f t="shared" si="3"/>
        <v>104</v>
      </c>
      <c r="H57" t="s">
        <v>187</v>
      </c>
    </row>
    <row r="58" spans="1:8" x14ac:dyDescent="0.25">
      <c r="A58">
        <f t="shared" si="0"/>
        <v>1</v>
      </c>
      <c r="B58">
        <f t="shared" si="2"/>
        <v>8653</v>
      </c>
      <c r="C58" t="str">
        <f>[1]!RegExpSubstitute(MID(H58,FIND("- ",H58)+2,FIND("- ",H58,FIND("- ",H58)+1)-FIND("- ",H58)-2),"\&amp;quot\;.*\&amp;quot\;\W","")</f>
        <v xml:space="preserve">ShaDarrien LaMelllana </v>
      </c>
      <c r="D58" t="str">
        <f>VLOOKUP(SUBSTITUTE(TRIM(MID(H58,FIND(",TPE:",H58)-3,3)),"- ",""),Index!E:F,2,FALSE)</f>
        <v>Wide Receiver</v>
      </c>
      <c r="E58" t="str">
        <f t="shared" si="1"/>
        <v>S9</v>
      </c>
      <c r="F58" t="s">
        <v>244</v>
      </c>
      <c r="G58">
        <f t="shared" si="3"/>
        <v>259</v>
      </c>
      <c r="H58" t="s">
        <v>101</v>
      </c>
    </row>
    <row r="59" spans="1:8" x14ac:dyDescent="0.25">
      <c r="A59">
        <f t="shared" si="0"/>
        <v>1</v>
      </c>
      <c r="B59">
        <f t="shared" si="2"/>
        <v>8524</v>
      </c>
      <c r="C59" t="str">
        <f>[1]!RegExpSubstitute(MID(H59,FIND("- ",H59)+2,FIND("- ",H59,FIND("- ",H59)+1)-FIND("- ",H59)-2),"\&amp;quot\;.*\&amp;quot\;\W","")</f>
        <v xml:space="preserve">Balthazar Crindy </v>
      </c>
      <c r="D59" t="str">
        <f>VLOOKUP(SUBSTITUTE(TRIM(MID(H59,FIND(",TPE:",H59)-3,3)),"- ",""),Index!E:F,2,FALSE)</f>
        <v>Tight End</v>
      </c>
      <c r="E59" t="str">
        <f t="shared" si="1"/>
        <v>S8</v>
      </c>
      <c r="F59" t="s">
        <v>244</v>
      </c>
      <c r="G59">
        <f t="shared" si="3"/>
        <v>510</v>
      </c>
      <c r="H59" t="s">
        <v>186</v>
      </c>
    </row>
    <row r="60" spans="1:8" x14ac:dyDescent="0.25">
      <c r="A60">
        <f t="shared" si="0"/>
        <v>1</v>
      </c>
      <c r="B60">
        <f t="shared" si="2"/>
        <v>8396</v>
      </c>
      <c r="C60" t="str">
        <f>[1]!RegExpSubstitute(MID(H60,FIND("- ",H60)+2,FIND("- ",H60,FIND("- ",H60)+1)-FIND("- ",H60)-2),"\&amp;quot\;.*\&amp;quot\;\W","")</f>
        <v xml:space="preserve">Omar Wrong </v>
      </c>
      <c r="D60" t="str">
        <f>VLOOKUP(SUBSTITUTE(TRIM(MID(H60,FIND(",TPE:",H60)-3,3)),"- ",""),Index!E:F,2,FALSE)</f>
        <v>Defensive Line</v>
      </c>
      <c r="E60" t="str">
        <f t="shared" si="1"/>
        <v>S8</v>
      </c>
      <c r="F60" t="s">
        <v>244</v>
      </c>
      <c r="G60">
        <f t="shared" si="3"/>
        <v>146</v>
      </c>
      <c r="H60" t="s">
        <v>200</v>
      </c>
    </row>
    <row r="61" spans="1:8" x14ac:dyDescent="0.25">
      <c r="A61">
        <f t="shared" si="0"/>
        <v>1</v>
      </c>
      <c r="B61">
        <f t="shared" si="2"/>
        <v>8061</v>
      </c>
      <c r="C61" t="str">
        <f>[1]!RegExpSubstitute(MID(H61,FIND("- ",H61)+2,FIND("- ",H61,FIND("- ",H61)+1)-FIND("- ",H61)-2),"\&amp;quot\;.*\&amp;quot\;\W","")</f>
        <v xml:space="preserve">Viggo Squanch </v>
      </c>
      <c r="D61" t="str">
        <f>VLOOKUP(SUBSTITUTE(TRIM(MID(H61,FIND(",TPE:",H61)-3,3)),"- ",""),Index!E:F,2,FALSE)</f>
        <v>Wide Receiver</v>
      </c>
      <c r="E61" t="str">
        <f t="shared" si="1"/>
        <v>S8</v>
      </c>
      <c r="F61" t="s">
        <v>244</v>
      </c>
      <c r="G61">
        <f t="shared" si="3"/>
        <v>789</v>
      </c>
      <c r="H61" t="s">
        <v>201</v>
      </c>
    </row>
    <row r="62" spans="1:8" x14ac:dyDescent="0.25">
      <c r="A62">
        <f t="shared" si="0"/>
        <v>1</v>
      </c>
      <c r="B62">
        <f t="shared" si="2"/>
        <v>7561</v>
      </c>
      <c r="C62" t="str">
        <f>[1]!RegExpSubstitute(MID(H62,FIND("- ",H62)+2,FIND("- ",H62,FIND("- ",H62)+1)-FIND("- ",H62)-2),"\&amp;quot\;.*\&amp;quot\;\W","")</f>
        <v xml:space="preserve">Mark Grau </v>
      </c>
      <c r="D62" t="str">
        <f>VLOOKUP(SUBSTITUTE(TRIM(MID(H62,FIND(",TPE:",H62)-3,3)),"- ",""),Index!E:F,2,FALSE)</f>
        <v>Runningback</v>
      </c>
      <c r="E62" t="str">
        <f t="shared" si="1"/>
        <v>S7</v>
      </c>
      <c r="F62" t="s">
        <v>244</v>
      </c>
      <c r="G62">
        <f t="shared" si="3"/>
        <v>339</v>
      </c>
      <c r="H62" t="s">
        <v>102</v>
      </c>
    </row>
    <row r="63" spans="1:8" x14ac:dyDescent="0.25">
      <c r="A63">
        <f t="shared" si="0"/>
        <v>1</v>
      </c>
      <c r="B63">
        <f t="shared" si="2"/>
        <v>7263</v>
      </c>
      <c r="C63" t="str">
        <f>[1]!RegExpSubstitute(MID(H63,FIND("- ",H63)+2,FIND("- ",H63,FIND("- ",H63)+1)-FIND("- ",H63)-2),"\&amp;quot\;.*\&amp;quot\;\W","")</f>
        <v xml:space="preserve">Alvin Chipmunk </v>
      </c>
      <c r="D63" t="str">
        <f>VLOOKUP(SUBSTITUTE(TRIM(MID(H63,FIND(",TPE:",H63)-3,3)),"- ",""),Index!E:F,2,FALSE)</f>
        <v>Tight End</v>
      </c>
      <c r="E63" t="str">
        <f t="shared" si="1"/>
        <v>S7</v>
      </c>
      <c r="F63" t="s">
        <v>244</v>
      </c>
      <c r="G63">
        <f t="shared" si="3"/>
        <v>161</v>
      </c>
      <c r="H63" t="s">
        <v>103</v>
      </c>
    </row>
    <row r="64" spans="1:8" x14ac:dyDescent="0.25">
      <c r="A64">
        <f t="shared" si="0"/>
        <v>1</v>
      </c>
      <c r="B64">
        <f t="shared" si="2"/>
        <v>7221</v>
      </c>
      <c r="C64" t="str">
        <f>[1]!RegExpSubstitute(MID(H64,FIND("- ",H64)+2,FIND("- ",H64,FIND("- ",H64)+1)-FIND("- ",H64)-2),"\&amp;quot\;.*\&amp;quot\;\W","")</f>
        <v xml:space="preserve">Howard Miller </v>
      </c>
      <c r="D64" t="str">
        <f>VLOOKUP(SUBSTITUTE(TRIM(MID(H64,FIND(",TPE:",H64)-3,3)),"- ",""),Index!E:F,2,FALSE)</f>
        <v>Wide Receiver</v>
      </c>
      <c r="E64" t="str">
        <f t="shared" si="1"/>
        <v>S7</v>
      </c>
      <c r="F64" t="s">
        <v>244</v>
      </c>
      <c r="G64">
        <f t="shared" si="3"/>
        <v>984</v>
      </c>
      <c r="H64" t="s">
        <v>104</v>
      </c>
    </row>
    <row r="65" spans="1:8" x14ac:dyDescent="0.25">
      <c r="A65">
        <f t="shared" si="0"/>
        <v>1</v>
      </c>
      <c r="B65">
        <f t="shared" si="2"/>
        <v>6405</v>
      </c>
      <c r="C65" t="str">
        <f>[1]!RegExpSubstitute(MID(H65,FIND("- ",H65)+2,FIND("- ",H65,FIND("- ",H65)+1)-FIND("- ",H65)-2),"\&amp;quot\;.*\&amp;quot\;\W","")</f>
        <v xml:space="preserve">Brian Mills </v>
      </c>
      <c r="D65" t="str">
        <f>VLOOKUP(SUBSTITUTE(TRIM(MID(H65,FIND(",TPE:",H65)-3,3)),"- ",""),Index!E:F,2,FALSE)</f>
        <v>Linebacker</v>
      </c>
      <c r="E65" t="str">
        <f t="shared" si="1"/>
        <v>S6</v>
      </c>
      <c r="F65" t="s">
        <v>244</v>
      </c>
      <c r="G65">
        <f t="shared" si="3"/>
        <v>579</v>
      </c>
      <c r="H65" t="s">
        <v>105</v>
      </c>
    </row>
    <row r="66" spans="1:8" x14ac:dyDescent="0.25">
      <c r="A66">
        <f t="shared" ref="A66:A129" si="4">COUNTIF($B$2:$B$375,B66)</f>
        <v>1</v>
      </c>
      <c r="B66">
        <f t="shared" si="2"/>
        <v>6395</v>
      </c>
      <c r="C66" t="str">
        <f>[1]!RegExpSubstitute(MID(H66,FIND("- ",H66)+2,FIND("- ",H66,FIND("- ",H66)+1)-FIND("- ",H66)-2),"\&amp;quot\;.*\&amp;quot\;\W","")</f>
        <v xml:space="preserve">Micycle McCormick </v>
      </c>
      <c r="D66" t="str">
        <f>VLOOKUP(SUBSTITUTE(TRIM(MID(H66,FIND(",TPE:",H66)-3,3)),"- ",""),Index!E:F,2,FALSE)</f>
        <v>Quarterback</v>
      </c>
      <c r="E66" t="str">
        <f t="shared" ref="E66:E129" si="5">MID(H66,FIND("(",H66)+1,FIND(")",H66)-FIND("(",H66)-1)</f>
        <v>S6</v>
      </c>
      <c r="F66" t="s">
        <v>244</v>
      </c>
      <c r="G66">
        <f t="shared" si="3"/>
        <v>954</v>
      </c>
      <c r="H66" t="s">
        <v>310</v>
      </c>
    </row>
    <row r="67" spans="1:8" x14ac:dyDescent="0.25">
      <c r="A67">
        <f t="shared" si="4"/>
        <v>1</v>
      </c>
      <c r="B67">
        <f t="shared" ref="B67:B130" si="6">[1]!Numerize(MID(H67,FIND("=",H67),10))+0</f>
        <v>5621</v>
      </c>
      <c r="C67" t="str">
        <f>[1]!RegExpSubstitute(MID(H67,FIND("- ",H67)+2,FIND("- ",H67,FIND("- ",H67)+1)-FIND("- ",H67)-2),"\&amp;quot\;.*\&amp;quot\;\W","")</f>
        <v xml:space="preserve">Michael Tillman </v>
      </c>
      <c r="D67" t="str">
        <f>VLOOKUP(SUBSTITUTE(TRIM(MID(H67,FIND(",TPE:",H67)-3,3)),"- ",""),Index!E:F,2,FALSE)</f>
        <v>Safety</v>
      </c>
      <c r="E67" t="str">
        <f t="shared" si="5"/>
        <v>S5</v>
      </c>
      <c r="F67" t="s">
        <v>244</v>
      </c>
      <c r="G67">
        <f t="shared" ref="G67:G130" si="7">MID(H67,FIND("TPE: ",H67)+5,FIND(", ",H67,FIND("TPE: ",H67))-FIND("TPE: ",H67)-5)+0</f>
        <v>238</v>
      </c>
      <c r="H67" t="s">
        <v>106</v>
      </c>
    </row>
    <row r="68" spans="1:8" x14ac:dyDescent="0.25">
      <c r="A68">
        <f t="shared" si="4"/>
        <v>1</v>
      </c>
      <c r="B68">
        <f t="shared" si="6"/>
        <v>4656</v>
      </c>
      <c r="C68" t="str">
        <f>[1]!RegExpSubstitute(MID(H68,FIND("- ",H68)+2,FIND("- ",H68,FIND("- ",H68)+1)-FIND("- ",H68)-2),"\&amp;quot\;.*\&amp;quot\;\W","")</f>
        <v xml:space="preserve">Haruki Ishigawa </v>
      </c>
      <c r="D68" t="str">
        <f>VLOOKUP(SUBSTITUTE(TRIM(MID(H68,FIND(",TPE:",H68)-3,3)),"- ",""),Index!E:F,2,FALSE)</f>
        <v>Defensive Line</v>
      </c>
      <c r="E68" t="str">
        <f t="shared" si="5"/>
        <v>S4</v>
      </c>
      <c r="F68" t="s">
        <v>244</v>
      </c>
      <c r="G68">
        <f t="shared" si="7"/>
        <v>224</v>
      </c>
      <c r="H68" t="s">
        <v>107</v>
      </c>
    </row>
    <row r="69" spans="1:8" x14ac:dyDescent="0.25">
      <c r="A69">
        <f t="shared" si="4"/>
        <v>1</v>
      </c>
      <c r="B69">
        <f t="shared" si="6"/>
        <v>11658</v>
      </c>
      <c r="C69" t="str">
        <f>[1]!RegExpSubstitute(MID(H69,FIND("- ",H69)+2,FIND("- ",H69,FIND("- ",H69)+1)-FIND("- ",H69)-2),"\&amp;quot\;.*\&amp;quot\;\W","")</f>
        <v xml:space="preserve">Maxwell Beard </v>
      </c>
      <c r="D69" t="str">
        <f>VLOOKUP(SUBSTITUTE(TRIM(MID(H69,FIND(",TPE:",H69)-3,3)),"- ",""),Index!E:F,2,FALSE)</f>
        <v>Defensive Line</v>
      </c>
      <c r="E69" t="str">
        <f t="shared" si="5"/>
        <v>S14</v>
      </c>
      <c r="F69" t="s">
        <v>245</v>
      </c>
      <c r="G69">
        <f t="shared" si="7"/>
        <v>187</v>
      </c>
      <c r="H69" t="s">
        <v>202</v>
      </c>
    </row>
    <row r="70" spans="1:8" x14ac:dyDescent="0.25">
      <c r="A70">
        <f t="shared" si="4"/>
        <v>1</v>
      </c>
      <c r="B70">
        <f t="shared" si="6"/>
        <v>11533</v>
      </c>
      <c r="C70" t="str">
        <f>[1]!RegExpSubstitute(MID(H70,FIND("- ",H70)+2,FIND("- ",H70,FIND("- ",H70)+1)-FIND("- ",H70)-2),"\&amp;quot\;.*\&amp;quot\;\W","")</f>
        <v xml:space="preserve">Corwin Davenport </v>
      </c>
      <c r="D70" t="str">
        <f>VLOOKUP(SUBSTITUTE(TRIM(MID(H70,FIND(",TPE:",H70)-3,3)),"- ",""),Index!E:F,2,FALSE)</f>
        <v>Runningback</v>
      </c>
      <c r="E70" t="str">
        <f t="shared" si="5"/>
        <v>S13</v>
      </c>
      <c r="F70" t="s">
        <v>245</v>
      </c>
      <c r="G70">
        <f t="shared" si="7"/>
        <v>155</v>
      </c>
      <c r="H70" t="s">
        <v>150</v>
      </c>
    </row>
    <row r="71" spans="1:8" x14ac:dyDescent="0.25">
      <c r="A71">
        <f t="shared" si="4"/>
        <v>1</v>
      </c>
      <c r="B71">
        <f t="shared" si="6"/>
        <v>11418</v>
      </c>
      <c r="C71" t="str">
        <f>[1]!RegExpSubstitute(MID(H71,FIND("- ",H71)+2,FIND("- ",H71,FIND("- ",H71)+1)-FIND("- ",H71)-2),"\&amp;quot\;.*\&amp;quot\;\W","")</f>
        <v xml:space="preserve">Ladarius Ansong </v>
      </c>
      <c r="D71" t="str">
        <f>VLOOKUP(SUBSTITUTE(TRIM(MID(H71,FIND(",TPE:",H71)-3,3)),"- ",""),Index!E:F,2,FALSE)</f>
        <v>Tight End</v>
      </c>
      <c r="E71" t="str">
        <f t="shared" si="5"/>
        <v>S13</v>
      </c>
      <c r="F71" t="s">
        <v>245</v>
      </c>
      <c r="G71">
        <f t="shared" si="7"/>
        <v>50</v>
      </c>
      <c r="H71" t="s">
        <v>192</v>
      </c>
    </row>
    <row r="72" spans="1:8" x14ac:dyDescent="0.25">
      <c r="A72">
        <f t="shared" si="4"/>
        <v>1</v>
      </c>
      <c r="B72">
        <f t="shared" si="6"/>
        <v>11408</v>
      </c>
      <c r="C72" t="str">
        <f>[1]!RegExpSubstitute(MID(H72,FIND("- ",H72)+2,FIND("- ",H72,FIND("- ",H72)+1)-FIND("- ",H72)-2),"\&amp;quot\;.*\&amp;quot\;\W","")</f>
        <v xml:space="preserve">Chris Steele </v>
      </c>
      <c r="D72" t="str">
        <f>VLOOKUP(SUBSTITUTE(TRIM(MID(H72,FIND(",TPE:",H72)-3,3)),"- ",""),Index!E:F,2,FALSE)</f>
        <v>Cornerback</v>
      </c>
      <c r="E72" t="str">
        <f t="shared" si="5"/>
        <v>S13</v>
      </c>
      <c r="F72" t="s">
        <v>245</v>
      </c>
      <c r="G72">
        <f t="shared" si="7"/>
        <v>142</v>
      </c>
      <c r="H72" t="s">
        <v>151</v>
      </c>
    </row>
    <row r="73" spans="1:8" x14ac:dyDescent="0.25">
      <c r="A73">
        <f t="shared" si="4"/>
        <v>1</v>
      </c>
      <c r="B73">
        <f t="shared" si="6"/>
        <v>11082</v>
      </c>
      <c r="C73" t="str">
        <f>[1]!RegExpSubstitute(MID(H73,FIND("- ",H73)+2,FIND("- ",H73,FIND("- ",H73)+1)-FIND("- ",H73)-2),"\&amp;quot\;.*\&amp;quot\;\W","")</f>
        <v xml:space="preserve">Blake McCargue </v>
      </c>
      <c r="D73" t="str">
        <f>VLOOKUP(SUBSTITUTE(TRIM(MID(H73,FIND(",TPE:",H73)-3,3)),"- ",""),Index!E:F,2,FALSE)</f>
        <v>Offensive Line</v>
      </c>
      <c r="E73" t="str">
        <f t="shared" si="5"/>
        <v>S13</v>
      </c>
      <c r="F73" t="s">
        <v>245</v>
      </c>
      <c r="G73">
        <f t="shared" si="7"/>
        <v>143</v>
      </c>
      <c r="H73" t="s">
        <v>190</v>
      </c>
    </row>
    <row r="74" spans="1:8" x14ac:dyDescent="0.25">
      <c r="A74">
        <f t="shared" si="4"/>
        <v>1</v>
      </c>
      <c r="B74">
        <f t="shared" si="6"/>
        <v>10864</v>
      </c>
      <c r="C74" t="str">
        <f>[1]!RegExpSubstitute(MID(H74,FIND("- ",H74)+2,FIND("- ",H74,FIND("- ",H74)+1)-FIND("- ",H74)-2),"\&amp;quot\;.*\&amp;quot\;\W","")</f>
        <v xml:space="preserve">Fast Boija </v>
      </c>
      <c r="D74" t="str">
        <f>VLOOKUP(SUBSTITUTE(TRIM(MID(H74,FIND(",TPE:",H74)-3,3)),"- ",""),Index!E:F,2,FALSE)</f>
        <v>Runningback</v>
      </c>
      <c r="E74" t="str">
        <f t="shared" si="5"/>
        <v>S12</v>
      </c>
      <c r="F74" t="s">
        <v>245</v>
      </c>
      <c r="G74">
        <f t="shared" si="7"/>
        <v>248</v>
      </c>
      <c r="H74" t="s">
        <v>203</v>
      </c>
    </row>
    <row r="75" spans="1:8" x14ac:dyDescent="0.25">
      <c r="A75">
        <f t="shared" si="4"/>
        <v>1</v>
      </c>
      <c r="B75">
        <f t="shared" si="6"/>
        <v>10638</v>
      </c>
      <c r="C75" t="str">
        <f>[1]!RegExpSubstitute(MID(H75,FIND("- ",H75)+2,FIND("- ",H75,FIND("- ",H75)+1)-FIND("- ",H75)-2),"\&amp;quot\;.*\&amp;quot\;\W","")</f>
        <v xml:space="preserve">Luke Smyles </v>
      </c>
      <c r="D75" t="str">
        <f>VLOOKUP(SUBSTITUTE(TRIM(MID(H75,FIND(",TPE:",H75)-3,3)),"- ",""),Index!E:F,2,FALSE)</f>
        <v>Defensive Line</v>
      </c>
      <c r="E75" t="str">
        <f t="shared" si="5"/>
        <v>S12</v>
      </c>
      <c r="F75" t="s">
        <v>245</v>
      </c>
      <c r="G75">
        <f t="shared" si="7"/>
        <v>414</v>
      </c>
      <c r="H75" t="s">
        <v>152</v>
      </c>
    </row>
    <row r="76" spans="1:8" x14ac:dyDescent="0.25">
      <c r="A76">
        <f t="shared" si="4"/>
        <v>1</v>
      </c>
      <c r="B76">
        <f t="shared" si="6"/>
        <v>10529</v>
      </c>
      <c r="C76" t="str">
        <f>[1]!RegExpSubstitute(MID(H76,FIND("- ",H76)+2,FIND("- ",H76,FIND("- ",H76)+1)-FIND("- ",H76)-2),"\&amp;quot\;.*\&amp;quot\;\W","")</f>
        <v xml:space="preserve">Ikaika Kalilimoku </v>
      </c>
      <c r="D76" t="str">
        <f>VLOOKUP(SUBSTITUTE(TRIM(MID(H76,FIND(",TPE:",H76)-3,3)),"- ",""),Index!E:F,2,FALSE)</f>
        <v>Defensive Line</v>
      </c>
      <c r="E76" t="str">
        <f t="shared" si="5"/>
        <v>S12</v>
      </c>
      <c r="F76" t="s">
        <v>245</v>
      </c>
      <c r="G76">
        <f t="shared" si="7"/>
        <v>228</v>
      </c>
      <c r="H76" t="s">
        <v>153</v>
      </c>
    </row>
    <row r="77" spans="1:8" x14ac:dyDescent="0.25">
      <c r="A77">
        <f t="shared" si="4"/>
        <v>1</v>
      </c>
      <c r="B77">
        <f t="shared" si="6"/>
        <v>10354</v>
      </c>
      <c r="C77" t="str">
        <f>[1]!RegExpSubstitute(MID(H77,FIND("- ",H77)+2,FIND("- ",H77,FIND("- ",H77)+1)-FIND("- ",H77)-2),"\&amp;quot\;.*\&amp;quot\;\W","")</f>
        <v xml:space="preserve">Johnson Cox III </v>
      </c>
      <c r="D77" t="str">
        <f>VLOOKUP(SUBSTITUTE(TRIM(MID(H77,FIND(",TPE:",H77)-3,3)),"- ",""),Index!E:F,2,FALSE)</f>
        <v>Cornerback</v>
      </c>
      <c r="E77" t="str">
        <f t="shared" si="5"/>
        <v>S11</v>
      </c>
      <c r="F77" t="s">
        <v>245</v>
      </c>
      <c r="G77">
        <f t="shared" si="7"/>
        <v>258</v>
      </c>
      <c r="H77" t="s">
        <v>154</v>
      </c>
    </row>
    <row r="78" spans="1:8" x14ac:dyDescent="0.25">
      <c r="A78">
        <f t="shared" si="4"/>
        <v>1</v>
      </c>
      <c r="B78">
        <f t="shared" si="6"/>
        <v>10256</v>
      </c>
      <c r="C78" t="str">
        <f>[1]!RegExpSubstitute(MID(H78,FIND("- ",H78)+2,FIND("- ",H78,FIND("- ",H78)+1)-FIND("- ",H78)-2),"\&amp;quot\;.*\&amp;quot\;\W","")</f>
        <v xml:space="preserve">Roger Batoff </v>
      </c>
      <c r="D78" t="str">
        <f>VLOOKUP(SUBSTITUTE(TRIM(MID(H78,FIND(",TPE:",H78)-3,3)),"- ",""),Index!E:F,2,FALSE)</f>
        <v>Wide Receiver</v>
      </c>
      <c r="E78" t="str">
        <f t="shared" si="5"/>
        <v>S11</v>
      </c>
      <c r="F78" t="s">
        <v>245</v>
      </c>
      <c r="G78">
        <f t="shared" si="7"/>
        <v>386</v>
      </c>
      <c r="H78" t="s">
        <v>155</v>
      </c>
    </row>
    <row r="79" spans="1:8" x14ac:dyDescent="0.25">
      <c r="A79">
        <f t="shared" si="4"/>
        <v>1</v>
      </c>
      <c r="B79">
        <f t="shared" si="6"/>
        <v>10126</v>
      </c>
      <c r="C79" t="str">
        <f>[1]!RegExpSubstitute(MID(H79,FIND("- ",H79)+2,FIND("- ",H79,FIND("- ",H79)+1)-FIND("- ",H79)-2),"\&amp;quot\;.*\&amp;quot\;\W","")</f>
        <v xml:space="preserve">Kulture Fulture </v>
      </c>
      <c r="D79" t="str">
        <f>VLOOKUP(SUBSTITUTE(TRIM(MID(H79,FIND(",TPE:",H79)-3,3)),"- ",""),Index!E:F,2,FALSE)</f>
        <v>Kicker</v>
      </c>
      <c r="E79" t="str">
        <f t="shared" si="5"/>
        <v>S11</v>
      </c>
      <c r="F79" t="s">
        <v>245</v>
      </c>
      <c r="G79">
        <f t="shared" si="7"/>
        <v>604</v>
      </c>
      <c r="H79" t="s">
        <v>204</v>
      </c>
    </row>
    <row r="80" spans="1:8" x14ac:dyDescent="0.25">
      <c r="A80">
        <f t="shared" si="4"/>
        <v>1</v>
      </c>
      <c r="B80">
        <f t="shared" si="6"/>
        <v>10121</v>
      </c>
      <c r="C80" t="str">
        <f>[1]!RegExpSubstitute(MID(H80,FIND("- ",H80)+2,FIND("- ",H80,FIND("- ",H80)+1)-FIND("- ",H80)-2),"\&amp;quot\;.*\&amp;quot\;\W","")</f>
        <v xml:space="preserve">Curtis Saul </v>
      </c>
      <c r="D80" t="str">
        <f>VLOOKUP(SUBSTITUTE(TRIM(MID(H80,FIND(",TPE:",H80)-3,3)),"- ",""),Index!E:F,2,FALSE)</f>
        <v>Defensive Line</v>
      </c>
      <c r="E80" t="str">
        <f t="shared" si="5"/>
        <v>S11</v>
      </c>
      <c r="F80" t="s">
        <v>245</v>
      </c>
      <c r="G80">
        <f t="shared" si="7"/>
        <v>453</v>
      </c>
      <c r="H80" t="s">
        <v>156</v>
      </c>
    </row>
    <row r="81" spans="1:8" x14ac:dyDescent="0.25">
      <c r="A81">
        <f t="shared" si="4"/>
        <v>1</v>
      </c>
      <c r="B81">
        <f t="shared" si="6"/>
        <v>10018</v>
      </c>
      <c r="C81" t="str">
        <f>[1]!RegExpSubstitute(MID(H81,FIND("- ",H81)+2,FIND("- ",H81,FIND("- ",H81)+1)-FIND("- ",H81)-2),"\&amp;quot\;.*\&amp;quot\;\W","")</f>
        <v xml:space="preserve">K.J. Becker </v>
      </c>
      <c r="D81" t="str">
        <f>VLOOKUP(SUBSTITUTE(TRIM(MID(H81,FIND(",TPE:",H81)-3,3)),"- ",""),Index!E:F,2,FALSE)</f>
        <v>Linebacker</v>
      </c>
      <c r="E81" t="str">
        <f t="shared" si="5"/>
        <v>S11</v>
      </c>
      <c r="F81" t="s">
        <v>245</v>
      </c>
      <c r="G81">
        <f t="shared" si="7"/>
        <v>636</v>
      </c>
      <c r="H81" t="s">
        <v>311</v>
      </c>
    </row>
    <row r="82" spans="1:8" x14ac:dyDescent="0.25">
      <c r="A82">
        <f t="shared" si="4"/>
        <v>1</v>
      </c>
      <c r="B82">
        <f t="shared" si="6"/>
        <v>10004</v>
      </c>
      <c r="C82" t="str">
        <f>[1]!RegExpSubstitute(MID(H82,FIND("- ",H82)+2,FIND("- ",H82,FIND("- ",H82)+1)-FIND("- ",H82)-2),"\&amp;quot\;.*\&amp;quot\;\W","")</f>
        <v xml:space="preserve">Lennox Garnett </v>
      </c>
      <c r="D82" t="str">
        <f>VLOOKUP(SUBSTITUTE(TRIM(MID(H82,FIND(",TPE:",H82)-3,3)),"- ",""),Index!E:F,2,FALSE)</f>
        <v>Safety</v>
      </c>
      <c r="E82" t="str">
        <f t="shared" si="5"/>
        <v>S11</v>
      </c>
      <c r="F82" t="s">
        <v>245</v>
      </c>
      <c r="G82">
        <f t="shared" si="7"/>
        <v>800</v>
      </c>
      <c r="H82" t="s">
        <v>157</v>
      </c>
    </row>
    <row r="83" spans="1:8" x14ac:dyDescent="0.25">
      <c r="A83">
        <f t="shared" si="4"/>
        <v>1</v>
      </c>
      <c r="B83">
        <f t="shared" si="6"/>
        <v>9512</v>
      </c>
      <c r="C83" t="str">
        <f>[1]!RegExpSubstitute(MID(H83,FIND("- ",H83)+2,FIND("- ",H83,FIND("- ",H83)+1)-FIND("- ",H83)-2),"\&amp;quot\;.*\&amp;quot\;\W","")</f>
        <v xml:space="preserve">Jordan von Matt </v>
      </c>
      <c r="D83" t="str">
        <f>VLOOKUP(SUBSTITUTE(TRIM(MID(H83,FIND(",TPE:",H83)-3,3)),"- ",""),Index!E:F,2,FALSE)</f>
        <v>Wide Receiver</v>
      </c>
      <c r="E83" t="str">
        <f t="shared" si="5"/>
        <v>S10</v>
      </c>
      <c r="F83" t="s">
        <v>245</v>
      </c>
      <c r="G83">
        <f t="shared" si="7"/>
        <v>745</v>
      </c>
      <c r="H83" t="s">
        <v>312</v>
      </c>
    </row>
    <row r="84" spans="1:8" x14ac:dyDescent="0.25">
      <c r="A84">
        <f t="shared" si="4"/>
        <v>1</v>
      </c>
      <c r="B84">
        <f t="shared" si="6"/>
        <v>9406</v>
      </c>
      <c r="C84" t="str">
        <f>[1]!RegExpSubstitute(MID(H84,FIND("- ",H84)+2,FIND("- ",H84,FIND("- ",H84)+1)-FIND("- ",H84)-2),"\&amp;quot\;.*\&amp;quot\;\W","")</f>
        <v xml:space="preserve">Ryland Morley </v>
      </c>
      <c r="D84" t="str">
        <f>VLOOKUP(SUBSTITUTE(TRIM(MID(H84,FIND(",TPE:",H84)-3,3)),"- ",""),Index!E:F,2,FALSE)</f>
        <v>Defensive Line</v>
      </c>
      <c r="E84" t="str">
        <f t="shared" si="5"/>
        <v>S10</v>
      </c>
      <c r="F84" t="s">
        <v>245</v>
      </c>
      <c r="G84">
        <f t="shared" si="7"/>
        <v>90</v>
      </c>
      <c r="H84" t="s">
        <v>158</v>
      </c>
    </row>
    <row r="85" spans="1:8" x14ac:dyDescent="0.25">
      <c r="A85">
        <f t="shared" si="4"/>
        <v>1</v>
      </c>
      <c r="B85">
        <f t="shared" si="6"/>
        <v>9220</v>
      </c>
      <c r="C85" t="str">
        <f>[1]!RegExpSubstitute(MID(H85,FIND("- ",H85)+2,FIND("- ",H85,FIND("- ",H85)+1)-FIND("- ",H85)-2),"\&amp;quot\;.*\&amp;quot\;\W","")</f>
        <v xml:space="preserve">Adriana Falconi </v>
      </c>
      <c r="D85" t="str">
        <f>VLOOKUP(SUBSTITUTE(TRIM(MID(H85,FIND(",TPE:",H85)-3,3)),"- ",""),Index!E:F,2,FALSE)</f>
        <v>Quarterback</v>
      </c>
      <c r="E85" t="str">
        <f t="shared" si="5"/>
        <v>S10</v>
      </c>
      <c r="F85" t="s">
        <v>245</v>
      </c>
      <c r="G85">
        <f t="shared" si="7"/>
        <v>933</v>
      </c>
      <c r="H85" t="s">
        <v>313</v>
      </c>
    </row>
    <row r="86" spans="1:8" x14ac:dyDescent="0.25">
      <c r="A86">
        <f t="shared" si="4"/>
        <v>1</v>
      </c>
      <c r="B86">
        <f t="shared" si="6"/>
        <v>8553</v>
      </c>
      <c r="C86" t="str">
        <f>[1]!RegExpSubstitute(MID(H86,FIND("- ",H86)+2,FIND("- ",H86,FIND("- ",H86)+1)-FIND("- ",H86)-2),"\&amp;quot\;.*\&amp;quot\;\W","")</f>
        <v xml:space="preserve">Bucky Barnes </v>
      </c>
      <c r="D86" t="str">
        <f>VLOOKUP(SUBSTITUTE(TRIM(MID(H86,FIND(",TPE:",H86)-3,3)),"- ",""),Index!E:F,2,FALSE)</f>
        <v>Safety</v>
      </c>
      <c r="E86" t="str">
        <f t="shared" si="5"/>
        <v>S9</v>
      </c>
      <c r="F86" t="s">
        <v>245</v>
      </c>
      <c r="G86">
        <f t="shared" si="7"/>
        <v>1031</v>
      </c>
      <c r="H86" t="s">
        <v>314</v>
      </c>
    </row>
    <row r="87" spans="1:8" x14ac:dyDescent="0.25">
      <c r="A87">
        <f t="shared" si="4"/>
        <v>1</v>
      </c>
      <c r="B87">
        <f t="shared" si="6"/>
        <v>6687</v>
      </c>
      <c r="C87" t="str">
        <f>[1]!RegExpSubstitute(MID(H87,FIND("- ",H87)+2,FIND("- ",H87,FIND("- ",H87)+1)-FIND("- ",H87)-2),"\&amp;quot\;.*\&amp;quot\;\W","")</f>
        <v xml:space="preserve">Carter Bush </v>
      </c>
      <c r="D87" t="str">
        <f>VLOOKUP(SUBSTITUTE(TRIM(MID(H87,FIND(",TPE:",H87)-3,3)),"- ",""),Index!E:F,2,FALSE)</f>
        <v>Wide Receiver</v>
      </c>
      <c r="E87" t="str">
        <f t="shared" si="5"/>
        <v>S6</v>
      </c>
      <c r="F87" t="s">
        <v>245</v>
      </c>
      <c r="G87">
        <f t="shared" si="7"/>
        <v>501</v>
      </c>
      <c r="H87" t="s">
        <v>160</v>
      </c>
    </row>
    <row r="88" spans="1:8" x14ac:dyDescent="0.25">
      <c r="A88">
        <f t="shared" si="4"/>
        <v>1</v>
      </c>
      <c r="B88">
        <f t="shared" si="6"/>
        <v>11946</v>
      </c>
      <c r="C88" t="str">
        <f>[1]!RegExpSubstitute(MID(H88,FIND("- ",H88)+2,FIND("- ",H88,FIND("- ",H88)+1)-FIND("- ",H88)-2),"\&amp;quot\;.*\&amp;quot\;\W","")</f>
        <v xml:space="preserve">Sandip Bakshi </v>
      </c>
      <c r="D88" t="str">
        <f>VLOOKUP(SUBSTITUTE(TRIM(MID(H88,FIND(",TPE:",H88)-3,3)),"- ",""),Index!E:F,2,FALSE)</f>
        <v>Linebacker</v>
      </c>
      <c r="E88" t="str">
        <f t="shared" si="5"/>
        <v>S14</v>
      </c>
      <c r="F88" t="s">
        <v>246</v>
      </c>
      <c r="G88">
        <f t="shared" si="7"/>
        <v>162</v>
      </c>
      <c r="H88" t="s">
        <v>315</v>
      </c>
    </row>
    <row r="89" spans="1:8" x14ac:dyDescent="0.25">
      <c r="A89">
        <f t="shared" si="4"/>
        <v>1</v>
      </c>
      <c r="B89">
        <f t="shared" si="6"/>
        <v>11536</v>
      </c>
      <c r="C89" t="str">
        <f>[1]!RegExpSubstitute(MID(H89,FIND("- ",H89)+2,FIND("- ",H89,FIND("- ",H89)+1)-FIND("- ",H89)-2),"\&amp;quot\;.*\&amp;quot\;\W","")</f>
        <v xml:space="preserve">Knute Knurtsson </v>
      </c>
      <c r="D89" t="str">
        <f>VLOOKUP(SUBSTITUTE(TRIM(MID(H89,FIND(",TPE:",H89)-3,3)),"- ",""),Index!E:F,2,FALSE)</f>
        <v>Safety</v>
      </c>
      <c r="E89" t="str">
        <f t="shared" si="5"/>
        <v>S13</v>
      </c>
      <c r="F89" t="s">
        <v>246</v>
      </c>
      <c r="G89">
        <f t="shared" si="7"/>
        <v>200</v>
      </c>
      <c r="H89" t="s">
        <v>316</v>
      </c>
    </row>
    <row r="90" spans="1:8" x14ac:dyDescent="0.25">
      <c r="A90">
        <f t="shared" si="4"/>
        <v>1</v>
      </c>
      <c r="B90">
        <f t="shared" si="6"/>
        <v>11451</v>
      </c>
      <c r="C90" t="str">
        <f>[1]!RegExpSubstitute(MID(H90,FIND("- ",H90)+2,FIND("- ",H90,FIND("- ",H90)+1)-FIND("- ",H90)-2),"\&amp;quot\;.*\&amp;quot\;\W","")</f>
        <v xml:space="preserve">Nate Swift </v>
      </c>
      <c r="D90" t="str">
        <f>VLOOKUP(SUBSTITUTE(TRIM(MID(H90,FIND(",TPE:",H90)-3,3)),"- ",""),Index!E:F,2,FALSE)</f>
        <v>Wide Receiver</v>
      </c>
      <c r="E90" t="str">
        <f t="shared" si="5"/>
        <v>S13</v>
      </c>
      <c r="F90" t="s">
        <v>246</v>
      </c>
      <c r="G90">
        <f t="shared" si="7"/>
        <v>382</v>
      </c>
      <c r="H90" t="s">
        <v>317</v>
      </c>
    </row>
    <row r="91" spans="1:8" x14ac:dyDescent="0.25">
      <c r="A91">
        <f t="shared" si="4"/>
        <v>1</v>
      </c>
      <c r="B91">
        <f t="shared" si="6"/>
        <v>11170</v>
      </c>
      <c r="C91" t="str">
        <f>[1]!RegExpSubstitute(MID(H91,FIND("- ",H91)+2,FIND("- ",H91,FIND("- ",H91)+1)-FIND("- ",H91)-2),"\&amp;quot\;.*\&amp;quot\;\W","")</f>
        <v xml:space="preserve">Johnny Snuggles </v>
      </c>
      <c r="D91" t="str">
        <f>VLOOKUP(SUBSTITUTE(TRIM(MID(H91,FIND(",TPE:",H91)-3,3)),"- ",""),Index!E:F,2,FALSE)</f>
        <v>Cornerback</v>
      </c>
      <c r="E91" t="str">
        <f t="shared" si="5"/>
        <v>S13</v>
      </c>
      <c r="F91" t="s">
        <v>246</v>
      </c>
      <c r="G91">
        <f t="shared" si="7"/>
        <v>520</v>
      </c>
      <c r="H91" t="s">
        <v>318</v>
      </c>
    </row>
    <row r="92" spans="1:8" x14ac:dyDescent="0.25">
      <c r="A92">
        <f t="shared" si="4"/>
        <v>1</v>
      </c>
      <c r="B92">
        <f t="shared" si="6"/>
        <v>11027</v>
      </c>
      <c r="C92" t="str">
        <f>[1]!RegExpSubstitute(MID(H92,FIND("- ",H92)+2,FIND("- ",H92,FIND("- ",H92)+1)-FIND("- ",H92)-2),"\&amp;quot\;.*\&amp;quot\;\W","")</f>
        <v xml:space="preserve">Pecker Cox </v>
      </c>
      <c r="D92" t="str">
        <f>VLOOKUP(SUBSTITUTE(TRIM(MID(H92,FIND(",TPE:",H92)-3,3)),"- ",""),Index!E:F,2,FALSE)</f>
        <v>Defensive Line</v>
      </c>
      <c r="E92" t="str">
        <f t="shared" si="5"/>
        <v>S12</v>
      </c>
      <c r="F92" t="s">
        <v>246</v>
      </c>
      <c r="G92">
        <f t="shared" si="7"/>
        <v>126</v>
      </c>
      <c r="H92" t="s">
        <v>169</v>
      </c>
    </row>
    <row r="93" spans="1:8" x14ac:dyDescent="0.25">
      <c r="A93">
        <f t="shared" si="4"/>
        <v>1</v>
      </c>
      <c r="B93">
        <f t="shared" si="6"/>
        <v>11004</v>
      </c>
      <c r="C93" t="str">
        <f>[1]!RegExpSubstitute(MID(H93,FIND("- ",H93)+2,FIND("- ",H93,FIND("- ",H93)+1)-FIND("- ",H93)-2),"\&amp;quot\;.*\&amp;quot\;\W","")</f>
        <v xml:space="preserve">Tommy Helanen </v>
      </c>
      <c r="D93" t="str">
        <f>VLOOKUP(SUBSTITUTE(TRIM(MID(H93,FIND(",TPE:",H93)-3,3)),"- ",""),Index!E:F,2,FALSE)</f>
        <v>Wide Receiver</v>
      </c>
      <c r="E93" t="str">
        <f t="shared" si="5"/>
        <v>S12</v>
      </c>
      <c r="F93" t="s">
        <v>246</v>
      </c>
      <c r="G93">
        <f t="shared" si="7"/>
        <v>481</v>
      </c>
      <c r="H93" t="s">
        <v>319</v>
      </c>
    </row>
    <row r="94" spans="1:8" x14ac:dyDescent="0.25">
      <c r="A94">
        <f t="shared" si="4"/>
        <v>1</v>
      </c>
      <c r="B94">
        <f t="shared" si="6"/>
        <v>10738</v>
      </c>
      <c r="C94" t="str">
        <f>[1]!RegExpSubstitute(MID(H94,FIND("- ",H94)+2,FIND("- ",H94,FIND("- ",H94)+1)-FIND("- ",H94)-2),"\&amp;quot\;.*\&amp;quot\;\W","")</f>
        <v xml:space="preserve">Jeff Jefferson IV </v>
      </c>
      <c r="D94" t="str">
        <f>VLOOKUP(SUBSTITUTE(TRIM(MID(H94,FIND(",TPE:",H94)-3,3)),"- ",""),Index!E:F,2,FALSE)</f>
        <v>Safety</v>
      </c>
      <c r="E94" t="str">
        <f t="shared" si="5"/>
        <v>S12</v>
      </c>
      <c r="F94" t="s">
        <v>246</v>
      </c>
      <c r="G94">
        <f t="shared" si="7"/>
        <v>182</v>
      </c>
      <c r="H94" t="s">
        <v>170</v>
      </c>
    </row>
    <row r="95" spans="1:8" x14ac:dyDescent="0.25">
      <c r="A95">
        <f t="shared" si="4"/>
        <v>1</v>
      </c>
      <c r="B95">
        <f t="shared" si="6"/>
        <v>10648</v>
      </c>
      <c r="C95" t="str">
        <f>[1]!RegExpSubstitute(MID(H95,FIND("- ",H95)+2,FIND("- ",H95,FIND("- ",H95)+1)-FIND("- ",H95)-2),"\&amp;quot\;.*\&amp;quot\;\W","")</f>
        <v xml:space="preserve">Dick Wizardry </v>
      </c>
      <c r="D95" t="str">
        <f>VLOOKUP(SUBSTITUTE(TRIM(MID(H95,FIND(",TPE:",H95)-3,3)),"- ",""),Index!E:F,2,FALSE)</f>
        <v>Runningback</v>
      </c>
      <c r="E95" t="str">
        <f t="shared" si="5"/>
        <v>S12</v>
      </c>
      <c r="F95" t="s">
        <v>246</v>
      </c>
      <c r="G95">
        <f t="shared" si="7"/>
        <v>679</v>
      </c>
      <c r="H95" t="s">
        <v>320</v>
      </c>
    </row>
    <row r="96" spans="1:8" x14ac:dyDescent="0.25">
      <c r="A96">
        <f t="shared" si="4"/>
        <v>1</v>
      </c>
      <c r="B96">
        <f t="shared" si="6"/>
        <v>10402</v>
      </c>
      <c r="C96" t="str">
        <f>[1]!RegExpSubstitute(MID(H96,FIND("- ",H96)+2,FIND("- ",H96,FIND("- ",H96)+1)-FIND("- ",H96)-2),"\&amp;quot\;.*\&amp;quot\;\W","")</f>
        <v xml:space="preserve">Thomas Carrasco </v>
      </c>
      <c r="D96" t="str">
        <f>VLOOKUP(SUBSTITUTE(TRIM(MID(H96,FIND(",TPE:",H96)-3,3)),"- ",""),Index!E:F,2,FALSE)</f>
        <v>Runningback</v>
      </c>
      <c r="E96" t="str">
        <f t="shared" si="5"/>
        <v>S11</v>
      </c>
      <c r="F96" t="s">
        <v>246</v>
      </c>
      <c r="G96">
        <f t="shared" si="7"/>
        <v>177</v>
      </c>
      <c r="H96" t="s">
        <v>171</v>
      </c>
    </row>
    <row r="97" spans="1:8" x14ac:dyDescent="0.25">
      <c r="A97">
        <f t="shared" si="4"/>
        <v>1</v>
      </c>
      <c r="B97">
        <f t="shared" si="6"/>
        <v>10136</v>
      </c>
      <c r="C97" t="str">
        <f>[1]!RegExpSubstitute(MID(H97,FIND("- ",H97)+2,FIND("- ",H97,FIND("- ",H97)+1)-FIND("- ",H97)-2),"\&amp;quot\;.*\&amp;quot\;\W","")</f>
        <v xml:space="preserve">Will Foster </v>
      </c>
      <c r="D97" t="str">
        <f>VLOOKUP(SUBSTITUTE(TRIM(MID(H97,FIND(",TPE:",H97)-3,3)),"- ",""),Index!E:F,2,FALSE)</f>
        <v>Defensive Line</v>
      </c>
      <c r="E97" t="str">
        <f t="shared" si="5"/>
        <v>S11</v>
      </c>
      <c r="F97" t="s">
        <v>246</v>
      </c>
      <c r="G97">
        <f t="shared" si="7"/>
        <v>271</v>
      </c>
      <c r="H97" t="s">
        <v>172</v>
      </c>
    </row>
    <row r="98" spans="1:8" x14ac:dyDescent="0.25">
      <c r="A98">
        <f t="shared" si="4"/>
        <v>1</v>
      </c>
      <c r="B98">
        <f t="shared" si="6"/>
        <v>10092</v>
      </c>
      <c r="C98" t="str">
        <f>[1]!RegExpSubstitute(MID(H98,FIND("- ",H98)+2,FIND("- ",H98,FIND("- ",H98)+1)-FIND("- ",H98)-2),"\&amp;quot\;.*\&amp;quot\;\W","")</f>
        <v xml:space="preserve">Bobson Dugnutt </v>
      </c>
      <c r="D98" t="str">
        <f>VLOOKUP(SUBSTITUTE(TRIM(MID(H98,FIND(",TPE:",H98)-3,3)),"- ",""),Index!E:F,2,FALSE)</f>
        <v>Cornerback</v>
      </c>
      <c r="E98" t="str">
        <f t="shared" si="5"/>
        <v>S11</v>
      </c>
      <c r="F98" t="s">
        <v>246</v>
      </c>
      <c r="G98">
        <f t="shared" si="7"/>
        <v>345</v>
      </c>
      <c r="H98" t="s">
        <v>173</v>
      </c>
    </row>
    <row r="99" spans="1:8" x14ac:dyDescent="0.25">
      <c r="A99">
        <f t="shared" si="4"/>
        <v>1</v>
      </c>
      <c r="B99">
        <f t="shared" si="6"/>
        <v>10061</v>
      </c>
      <c r="C99" t="str">
        <f>[1]!RegExpSubstitute(MID(H99,FIND("- ",H99)+2,FIND("- ",H99,FIND("- ",H99)+1)-FIND("- ",H99)-2),"\&amp;quot\;.*\&amp;quot\;\W","")</f>
        <v xml:space="preserve">Josh Parker </v>
      </c>
      <c r="D99" t="str">
        <f>VLOOKUP(SUBSTITUTE(TRIM(MID(H99,FIND(",TPE:",H99)-3,3)),"- ",""),Index!E:F,2,FALSE)</f>
        <v>Wide Receiver</v>
      </c>
      <c r="E99" t="str">
        <f t="shared" si="5"/>
        <v>S11</v>
      </c>
      <c r="F99" t="s">
        <v>246</v>
      </c>
      <c r="G99">
        <f t="shared" si="7"/>
        <v>573</v>
      </c>
      <c r="H99" t="s">
        <v>205</v>
      </c>
    </row>
    <row r="100" spans="1:8" x14ac:dyDescent="0.25">
      <c r="A100">
        <f t="shared" si="4"/>
        <v>1</v>
      </c>
      <c r="B100">
        <f t="shared" si="6"/>
        <v>9830</v>
      </c>
      <c r="C100" t="str">
        <f>[1]!RegExpSubstitute(MID(H100,FIND("- ",H100)+2,FIND("- ",H100,FIND("- ",H100)+1)-FIND("- ",H100)-2),"\&amp;quot\;.*\&amp;quot\;\W","")</f>
        <v xml:space="preserve">Adrian Pitcher </v>
      </c>
      <c r="D100" t="str">
        <f>VLOOKUP(SUBSTITUTE(TRIM(MID(H100,FIND(",TPE:",H100)-3,3)),"- ",""),Index!E:F,2,FALSE)</f>
        <v>Tight End</v>
      </c>
      <c r="E100" t="str">
        <f t="shared" si="5"/>
        <v>S11</v>
      </c>
      <c r="F100" t="s">
        <v>246</v>
      </c>
      <c r="G100">
        <f t="shared" si="7"/>
        <v>176</v>
      </c>
      <c r="H100" t="s">
        <v>174</v>
      </c>
    </row>
    <row r="101" spans="1:8" x14ac:dyDescent="0.25">
      <c r="A101">
        <f t="shared" si="4"/>
        <v>1</v>
      </c>
      <c r="B101">
        <f t="shared" si="6"/>
        <v>9833</v>
      </c>
      <c r="C101" t="str">
        <f>[1]!RegExpSubstitute(MID(H101,FIND("- ",H101)+2,FIND("- ",H101,FIND("- ",H101)+1)-FIND("- ",H101)-2),"\&amp;quot\;.*\&amp;quot\;\W","")</f>
        <v xml:space="preserve">Alex Selich </v>
      </c>
      <c r="D101" t="str">
        <f>VLOOKUP(SUBSTITUTE(TRIM(MID(H101,FIND(",TPE:",H101)-3,3)),"- ",""),Index!E:F,2,FALSE)</f>
        <v>Linebacker</v>
      </c>
      <c r="E101" t="str">
        <f t="shared" si="5"/>
        <v>S11</v>
      </c>
      <c r="F101" t="s">
        <v>246</v>
      </c>
      <c r="G101">
        <f t="shared" si="7"/>
        <v>743</v>
      </c>
      <c r="H101" t="s">
        <v>321</v>
      </c>
    </row>
    <row r="102" spans="1:8" x14ac:dyDescent="0.25">
      <c r="A102">
        <f t="shared" si="4"/>
        <v>1</v>
      </c>
      <c r="B102">
        <f t="shared" si="6"/>
        <v>8030</v>
      </c>
      <c r="C102" t="str">
        <f>[1]!RegExpSubstitute(MID(H102,FIND("- ",H102)+2,FIND("- ",H102,FIND("- ",H102)+1)-FIND("- ",H102)-2),"\&amp;quot\;.*\&amp;quot\;\W","")</f>
        <v xml:space="preserve">Ramadan Steve </v>
      </c>
      <c r="D102" t="str">
        <f>VLOOKUP(SUBSTITUTE(TRIM(MID(H102,FIND(",TPE:",H102)-3,3)),"- ",""),Index!E:F,2,FALSE)</f>
        <v>Defensive Line</v>
      </c>
      <c r="E102" t="str">
        <f t="shared" si="5"/>
        <v>S8</v>
      </c>
      <c r="F102" t="s">
        <v>246</v>
      </c>
      <c r="G102">
        <f t="shared" si="7"/>
        <v>152</v>
      </c>
      <c r="H102" t="s">
        <v>175</v>
      </c>
    </row>
    <row r="103" spans="1:8" x14ac:dyDescent="0.25">
      <c r="A103">
        <f t="shared" si="4"/>
        <v>1</v>
      </c>
      <c r="B103">
        <f t="shared" si="6"/>
        <v>8034</v>
      </c>
      <c r="C103" t="str">
        <f>[1]!RegExpSubstitute(MID(H103,FIND("- ",H103)+2,FIND("- ",H103,FIND("- ",H103)+1)-FIND("- ",H103)-2),"\&amp;quot\;.*\&amp;quot\;\W","")</f>
        <v xml:space="preserve">Brad Pennington </v>
      </c>
      <c r="D103" t="str">
        <f>VLOOKUP(SUBSTITUTE(TRIM(MID(H103,FIND(",TPE:",H103)-3,3)),"- ",""),Index!E:F,2,FALSE)</f>
        <v>Wide Receiver</v>
      </c>
      <c r="E103" t="str">
        <f t="shared" si="5"/>
        <v>S8</v>
      </c>
      <c r="F103" t="s">
        <v>246</v>
      </c>
      <c r="G103">
        <f t="shared" si="7"/>
        <v>688</v>
      </c>
      <c r="H103" t="s">
        <v>176</v>
      </c>
    </row>
    <row r="104" spans="1:8" x14ac:dyDescent="0.25">
      <c r="A104">
        <f t="shared" si="4"/>
        <v>1</v>
      </c>
      <c r="B104">
        <f t="shared" si="6"/>
        <v>7874</v>
      </c>
      <c r="C104" t="str">
        <f>[1]!RegExpSubstitute(MID(H104,FIND("- ",H104)+2,FIND("- ",H104,FIND("- ",H104)+1)-FIND("- ",H104)-2),"\&amp;quot\;.*\&amp;quot\;\W","")</f>
        <v xml:space="preserve">Zach Skinner </v>
      </c>
      <c r="D104" t="str">
        <f>VLOOKUP(SUBSTITUTE(TRIM(MID(H104,FIND(",TPE:",H104)-3,3)),"- ",""),Index!E:F,2,FALSE)</f>
        <v>Defensive Line</v>
      </c>
      <c r="E104" t="str">
        <f t="shared" si="5"/>
        <v>S7</v>
      </c>
      <c r="F104" t="s">
        <v>246</v>
      </c>
      <c r="G104">
        <f t="shared" si="7"/>
        <v>468</v>
      </c>
      <c r="H104" t="s">
        <v>206</v>
      </c>
    </row>
    <row r="105" spans="1:8" x14ac:dyDescent="0.25">
      <c r="A105">
        <f t="shared" si="4"/>
        <v>1</v>
      </c>
      <c r="B105">
        <f t="shared" si="6"/>
        <v>7424</v>
      </c>
      <c r="C105" t="str">
        <f>[1]!RegExpSubstitute(MID(H105,FIND("- ",H105)+2,FIND("- ",H105,FIND("- ",H105)+1)-FIND("- ",H105)-2),"\&amp;quot\;.*\&amp;quot\;\W","")</f>
        <v xml:space="preserve">Ryan Applehort </v>
      </c>
      <c r="D105" t="str">
        <f>VLOOKUP(SUBSTITUTE(TRIM(MID(H105,FIND(",TPE:",H105)-3,3)),"- ",""),Index!E:F,2,FALSE)</f>
        <v>Quarterback</v>
      </c>
      <c r="E105" t="str">
        <f t="shared" si="5"/>
        <v>S7</v>
      </c>
      <c r="F105" t="s">
        <v>246</v>
      </c>
      <c r="G105">
        <f t="shared" si="7"/>
        <v>1192</v>
      </c>
      <c r="H105" t="s">
        <v>322</v>
      </c>
    </row>
    <row r="106" spans="1:8" x14ac:dyDescent="0.25">
      <c r="A106">
        <f t="shared" si="4"/>
        <v>1</v>
      </c>
      <c r="B106">
        <f t="shared" si="6"/>
        <v>6578</v>
      </c>
      <c r="C106" t="str">
        <f>[1]!RegExpSubstitute(MID(H106,FIND("- ",H106)+2,FIND("- ",H106,FIND("- ",H106)+1)-FIND("- ",H106)-2),"\&amp;quot\;.*\&amp;quot\;\W","")</f>
        <v xml:space="preserve">Forfeit </v>
      </c>
      <c r="D106" t="str">
        <f>VLOOKUP(SUBSTITUTE(TRIM(MID(H106,FIND(",TPE:",H106)-3,3)),"- ",""),Index!E:F,2,FALSE)</f>
        <v>Kicker</v>
      </c>
      <c r="E106" t="str">
        <f t="shared" si="5"/>
        <v>S6</v>
      </c>
      <c r="F106" t="s">
        <v>246</v>
      </c>
      <c r="G106">
        <f t="shared" si="7"/>
        <v>197</v>
      </c>
      <c r="H106" t="s">
        <v>177</v>
      </c>
    </row>
    <row r="107" spans="1:8" x14ac:dyDescent="0.25">
      <c r="A107">
        <f t="shared" si="4"/>
        <v>1</v>
      </c>
      <c r="B107">
        <f t="shared" si="6"/>
        <v>5347</v>
      </c>
      <c r="C107" t="str">
        <f>[1]!RegExpSubstitute(MID(H107,FIND("- ",H107)+2,FIND("- ",H107,FIND("- ",H107)+1)-FIND("- ",H107)-2),"\&amp;quot\;.*\&amp;quot\;\W","")</f>
        <v xml:space="preserve">Cameron Taylor </v>
      </c>
      <c r="D107" t="str">
        <f>VLOOKUP(SUBSTITUTE(TRIM(MID(H107,FIND(",TPE:",H107)-3,3)),"- ",""),Index!E:F,2,FALSE)</f>
        <v>Safety</v>
      </c>
      <c r="E107" t="str">
        <f t="shared" si="5"/>
        <v>S5</v>
      </c>
      <c r="F107" t="s">
        <v>246</v>
      </c>
      <c r="G107">
        <f t="shared" si="7"/>
        <v>620</v>
      </c>
      <c r="H107" t="s">
        <v>178</v>
      </c>
    </row>
    <row r="108" spans="1:8" x14ac:dyDescent="0.25">
      <c r="A108">
        <f t="shared" si="4"/>
        <v>1</v>
      </c>
      <c r="B108">
        <f t="shared" si="6"/>
        <v>11739</v>
      </c>
      <c r="C108" t="str">
        <f>[1]!RegExpSubstitute(MID(H108,FIND("- ",H108)+2,FIND("- ",H108,FIND("- ",H108)+1)-FIND("- ",H108)-2),"\&amp;quot\;.*\&amp;quot\;\W","")</f>
        <v xml:space="preserve">Ma Goomba </v>
      </c>
      <c r="D108" t="str">
        <f>VLOOKUP(SUBSTITUTE(TRIM(MID(H108,FIND(",TPE:",H108)-3,3)),"- ",""),Index!E:F,2,FALSE)</f>
        <v>Offensive Line</v>
      </c>
      <c r="E108" t="str">
        <f t="shared" si="5"/>
        <v>S14</v>
      </c>
      <c r="F108" t="s">
        <v>247</v>
      </c>
      <c r="G108">
        <f t="shared" si="7"/>
        <v>57</v>
      </c>
      <c r="H108" t="s">
        <v>66</v>
      </c>
    </row>
    <row r="109" spans="1:8" x14ac:dyDescent="0.25">
      <c r="A109">
        <f t="shared" si="4"/>
        <v>1</v>
      </c>
      <c r="B109">
        <f t="shared" si="6"/>
        <v>11074</v>
      </c>
      <c r="C109" t="str">
        <f>[1]!RegExpSubstitute(MID(H109,FIND("- ",H109)+2,FIND("- ",H109,FIND("- ",H109)+1)-FIND("- ",H109)-2),"\&amp;quot\;.*\&amp;quot\;\W","")</f>
        <v xml:space="preserve">Jaren Haden </v>
      </c>
      <c r="D109" t="str">
        <f>VLOOKUP(SUBSTITUTE(TRIM(MID(H109,FIND(",TPE:",H109)-3,3)),"- ",""),Index!E:F,2,FALSE)</f>
        <v>Linebacker</v>
      </c>
      <c r="E109" t="str">
        <f t="shared" si="5"/>
        <v>S13</v>
      </c>
      <c r="F109" t="s">
        <v>247</v>
      </c>
      <c r="G109">
        <f t="shared" si="7"/>
        <v>69</v>
      </c>
      <c r="H109" t="s">
        <v>67</v>
      </c>
    </row>
    <row r="110" spans="1:8" x14ac:dyDescent="0.25">
      <c r="A110">
        <f t="shared" si="4"/>
        <v>1</v>
      </c>
      <c r="B110">
        <f t="shared" si="6"/>
        <v>11043</v>
      </c>
      <c r="C110" t="str">
        <f>[1]!RegExpSubstitute(MID(H110,FIND("- ",H110)+2,FIND("- ",H110,FIND("- ",H110)+1)-FIND("- ",H110)-2),"\&amp;quot\;.*\&amp;quot\;\W","")</f>
        <v xml:space="preserve">Jordan McCann </v>
      </c>
      <c r="D110" t="str">
        <f>VLOOKUP(SUBSTITUTE(TRIM(MID(H110,FIND(",TPE:",H110)-3,3)),"- ",""),Index!E:F,2,FALSE)</f>
        <v>Defensive Line</v>
      </c>
      <c r="E110" t="str">
        <f t="shared" si="5"/>
        <v>S13</v>
      </c>
      <c r="F110" t="s">
        <v>247</v>
      </c>
      <c r="G110">
        <f t="shared" si="7"/>
        <v>52</v>
      </c>
      <c r="H110" t="s">
        <v>68</v>
      </c>
    </row>
    <row r="111" spans="1:8" x14ac:dyDescent="0.25">
      <c r="A111">
        <f t="shared" si="4"/>
        <v>1</v>
      </c>
      <c r="B111">
        <f t="shared" si="6"/>
        <v>11030</v>
      </c>
      <c r="C111" t="str">
        <f>[1]!RegExpSubstitute(MID(H111,FIND("- ",H111)+2,FIND("- ",H111,FIND("- ",H111)+1)-FIND("- ",H111)-2),"\&amp;quot\;.*\&amp;quot\;\W","")</f>
        <v xml:space="preserve">Raymond Vans </v>
      </c>
      <c r="D111" t="str">
        <f>VLOOKUP(SUBSTITUTE(TRIM(MID(H111,FIND(",TPE:",H111)-3,3)),"- ",""),Index!E:F,2,FALSE)</f>
        <v>Linebacker</v>
      </c>
      <c r="E111" t="str">
        <f t="shared" si="5"/>
        <v>S12</v>
      </c>
      <c r="F111" t="s">
        <v>247</v>
      </c>
      <c r="G111">
        <f t="shared" si="7"/>
        <v>441</v>
      </c>
      <c r="H111" t="s">
        <v>323</v>
      </c>
    </row>
    <row r="112" spans="1:8" x14ac:dyDescent="0.25">
      <c r="A112">
        <f t="shared" si="4"/>
        <v>1</v>
      </c>
      <c r="B112">
        <f t="shared" si="6"/>
        <v>10917</v>
      </c>
      <c r="C112" t="str">
        <f>[1]!RegExpSubstitute(MID(H112,FIND("- ",H112)+2,FIND("- ",H112,FIND("- ",H112)+1)-FIND("- ",H112)-2),"\&amp;quot\;.*\&amp;quot\;\W","")</f>
        <v xml:space="preserve">Hike Mughes </v>
      </c>
      <c r="D112" t="str">
        <f>VLOOKUP(SUBSTITUTE(TRIM(MID(H112,FIND(",TPE:",H112)-3,3)),"- ",""),Index!E:F,2,FALSE)</f>
        <v>Cornerback</v>
      </c>
      <c r="E112" t="str">
        <f t="shared" si="5"/>
        <v>S12</v>
      </c>
      <c r="F112" t="s">
        <v>247</v>
      </c>
      <c r="G112">
        <f t="shared" si="7"/>
        <v>305</v>
      </c>
      <c r="H112" t="s">
        <v>324</v>
      </c>
    </row>
    <row r="113" spans="1:8" x14ac:dyDescent="0.25">
      <c r="A113">
        <f t="shared" si="4"/>
        <v>1</v>
      </c>
      <c r="B113">
        <f t="shared" si="6"/>
        <v>10765</v>
      </c>
      <c r="C113" t="str">
        <f>[1]!RegExpSubstitute(MID(H113,FIND("- ",H113)+2,FIND("- ",H113,FIND("- ",H113)+1)-FIND("- ",H113)-2),"\&amp;quot\;.*\&amp;quot\;\W","")</f>
        <v xml:space="preserve">Cole Walker </v>
      </c>
      <c r="D113" t="str">
        <f>VLOOKUP(SUBSTITUTE(TRIM(MID(H113,FIND(",TPE:",H113)-3,3)),"- ",""),Index!E:F,2,FALSE)</f>
        <v>Defensive Line</v>
      </c>
      <c r="E113" t="str">
        <f t="shared" si="5"/>
        <v>S12</v>
      </c>
      <c r="F113" t="s">
        <v>247</v>
      </c>
      <c r="G113">
        <f t="shared" si="7"/>
        <v>99</v>
      </c>
      <c r="H113" t="s">
        <v>69</v>
      </c>
    </row>
    <row r="114" spans="1:8" x14ac:dyDescent="0.25">
      <c r="A114">
        <f t="shared" si="4"/>
        <v>1</v>
      </c>
      <c r="B114">
        <f t="shared" si="6"/>
        <v>10668</v>
      </c>
      <c r="C114" t="str">
        <f>[1]!RegExpSubstitute(MID(H114,FIND("- ",H114)+2,FIND("- ",H114,FIND("- ",H114)+1)-FIND("- ",H114)-2),"\&amp;quot\;.*\&amp;quot\;\W","")</f>
        <v xml:space="preserve">Jeffery Murphy </v>
      </c>
      <c r="D114" t="str">
        <f>VLOOKUP(SUBSTITUTE(TRIM(MID(H114,FIND(",TPE:",H114)-3,3)),"- ",""),Index!E:F,2,FALSE)</f>
        <v>Cornerback</v>
      </c>
      <c r="E114" t="str">
        <f t="shared" si="5"/>
        <v>S12</v>
      </c>
      <c r="F114" t="s">
        <v>247</v>
      </c>
      <c r="G114">
        <f t="shared" si="7"/>
        <v>250</v>
      </c>
      <c r="H114" t="s">
        <v>325</v>
      </c>
    </row>
    <row r="115" spans="1:8" x14ac:dyDescent="0.25">
      <c r="A115">
        <f t="shared" si="4"/>
        <v>1</v>
      </c>
      <c r="B115">
        <f t="shared" si="6"/>
        <v>10466</v>
      </c>
      <c r="C115" t="str">
        <f>[1]!RegExpSubstitute(MID(H115,FIND("- ",H115)+2,FIND("- ",H115,FIND("- ",H115)+1)-FIND("- ",H115)-2),"\&amp;quot\;.*\&amp;quot\;\W","")</f>
        <v xml:space="preserve">Sam Hardwick </v>
      </c>
      <c r="D115" t="str">
        <f>VLOOKUP(SUBSTITUTE(TRIM(MID(H115,FIND(",TPE:",H115)-3,3)),"- ",""),Index!E:F,2,FALSE)</f>
        <v>Wide Receiver</v>
      </c>
      <c r="E115" t="str">
        <f t="shared" si="5"/>
        <v>S12</v>
      </c>
      <c r="F115" t="s">
        <v>247</v>
      </c>
      <c r="G115">
        <f t="shared" si="7"/>
        <v>396</v>
      </c>
      <c r="H115" t="s">
        <v>70</v>
      </c>
    </row>
    <row r="116" spans="1:8" x14ac:dyDescent="0.25">
      <c r="A116">
        <f t="shared" si="4"/>
        <v>1</v>
      </c>
      <c r="B116">
        <f t="shared" si="6"/>
        <v>10234</v>
      </c>
      <c r="C116" t="str">
        <f>[1]!RegExpSubstitute(MID(H116,FIND("- ",H116)+2,FIND("- ",H116,FIND("- ",H116)+1)-FIND("- ",H116)-2),"\&amp;quot\;.*\&amp;quot\;\W","")</f>
        <v xml:space="preserve">Slim Shady </v>
      </c>
      <c r="D116" t="str">
        <f>VLOOKUP(SUBSTITUTE(TRIM(MID(H116,FIND(",TPE:",H116)-3,3)),"- ",""),Index!E:F,2,FALSE)</f>
        <v>Runningback</v>
      </c>
      <c r="E116" t="str">
        <f t="shared" si="5"/>
        <v>S11</v>
      </c>
      <c r="F116" t="s">
        <v>247</v>
      </c>
      <c r="G116">
        <f t="shared" si="7"/>
        <v>460</v>
      </c>
      <c r="H116" t="s">
        <v>207</v>
      </c>
    </row>
    <row r="117" spans="1:8" x14ac:dyDescent="0.25">
      <c r="A117">
        <f t="shared" si="4"/>
        <v>1</v>
      </c>
      <c r="B117">
        <f t="shared" si="6"/>
        <v>10118</v>
      </c>
      <c r="C117" t="str">
        <f>[1]!RegExpSubstitute(MID(H117,FIND("- ",H117)+2,FIND("- ",H117,FIND("- ",H117)+1)-FIND("- ",H117)-2),"\&amp;quot\;.*\&amp;quot\;\W","")</f>
        <v xml:space="preserve">Harvey Kindle </v>
      </c>
      <c r="D117" t="str">
        <f>VLOOKUP(SUBSTITUTE(TRIM(MID(H117,FIND(",TPE:",H117)-3,3)),"- ",""),Index!E:F,2,FALSE)</f>
        <v>Wide Receiver</v>
      </c>
      <c r="E117" t="str">
        <f t="shared" si="5"/>
        <v>S11</v>
      </c>
      <c r="F117" t="s">
        <v>247</v>
      </c>
      <c r="G117">
        <f t="shared" si="7"/>
        <v>172</v>
      </c>
      <c r="H117" t="s">
        <v>71</v>
      </c>
    </row>
    <row r="118" spans="1:8" x14ac:dyDescent="0.25">
      <c r="A118">
        <f t="shared" si="4"/>
        <v>1</v>
      </c>
      <c r="B118">
        <f t="shared" si="6"/>
        <v>10062</v>
      </c>
      <c r="C118" t="str">
        <f>[1]!RegExpSubstitute(MID(H118,FIND("- ",H118)+2,FIND("- ",H118,FIND("- ",H118)+1)-FIND("- ",H118)-2),"\&amp;quot\;.*\&amp;quot\;\W","")</f>
        <v xml:space="preserve">Steven Moore </v>
      </c>
      <c r="D118" t="str">
        <f>VLOOKUP(SUBSTITUTE(TRIM(MID(H118,FIND(",TPE:",H118)-3,3)),"- ",""),Index!E:F,2,FALSE)</f>
        <v>Tight End</v>
      </c>
      <c r="E118" t="str">
        <f t="shared" si="5"/>
        <v>S11</v>
      </c>
      <c r="F118" t="s">
        <v>247</v>
      </c>
      <c r="G118">
        <f t="shared" si="7"/>
        <v>316</v>
      </c>
      <c r="H118" t="s">
        <v>72</v>
      </c>
    </row>
    <row r="119" spans="1:8" x14ac:dyDescent="0.25">
      <c r="A119">
        <f t="shared" si="4"/>
        <v>1</v>
      </c>
      <c r="B119">
        <f t="shared" si="6"/>
        <v>9986</v>
      </c>
      <c r="C119" t="str">
        <f>[1]!RegExpSubstitute(MID(H119,FIND("- ",H119)+2,FIND("- ",H119,FIND("- ",H119)+1)-FIND("- ",H119)-2),"\&amp;quot\;.*\&amp;quot\;\W","")</f>
        <v xml:space="preserve">Andrew Reese </v>
      </c>
      <c r="D119" t="str">
        <f>VLOOKUP(SUBSTITUTE(TRIM(MID(H119,FIND(",TPE:",H119)-3,3)),"- ",""),Index!E:F,2,FALSE)</f>
        <v>Quarterback</v>
      </c>
      <c r="E119" t="str">
        <f t="shared" si="5"/>
        <v>S11</v>
      </c>
      <c r="F119" t="s">
        <v>247</v>
      </c>
      <c r="G119">
        <f t="shared" si="7"/>
        <v>789</v>
      </c>
      <c r="H119" t="s">
        <v>326</v>
      </c>
    </row>
    <row r="120" spans="1:8" x14ac:dyDescent="0.25">
      <c r="A120">
        <f t="shared" si="4"/>
        <v>1</v>
      </c>
      <c r="B120">
        <f t="shared" si="6"/>
        <v>9815</v>
      </c>
      <c r="C120" t="str">
        <f>[1]!RegExpSubstitute(MID(H120,FIND("- ",H120)+2,FIND("- ",H120,FIND("- ",H120)+1)-FIND("- ",H120)-2),"\&amp;quot\;.*\&amp;quot\;\W","")</f>
        <v xml:space="preserve">A.J. Robertson </v>
      </c>
      <c r="D120" t="str">
        <f>VLOOKUP(SUBSTITUTE(TRIM(MID(H120,FIND(",TPE:",H120)-3,3)),"- ",""),Index!E:F,2,FALSE)</f>
        <v>Linebacker</v>
      </c>
      <c r="E120" t="str">
        <f t="shared" si="5"/>
        <v>S10</v>
      </c>
      <c r="F120" t="s">
        <v>247</v>
      </c>
      <c r="G120">
        <f t="shared" si="7"/>
        <v>249</v>
      </c>
      <c r="H120" t="s">
        <v>73</v>
      </c>
    </row>
    <row r="121" spans="1:8" x14ac:dyDescent="0.25">
      <c r="A121">
        <f t="shared" si="4"/>
        <v>1</v>
      </c>
      <c r="B121">
        <f t="shared" si="6"/>
        <v>9469</v>
      </c>
      <c r="C121" t="str">
        <f>[1]!RegExpSubstitute(MID(H121,FIND("- ",H121)+2,FIND("- ",H121,FIND("- ",H121)+1)-FIND("- ",H121)-2),"\&amp;quot\;.*\&amp;quot\;\W","")</f>
        <v xml:space="preserve">Emilia Rudd </v>
      </c>
      <c r="D121" t="str">
        <f>VLOOKUP(SUBSTITUTE(TRIM(MID(H121,FIND(",TPE:",H121)-3,3)),"- ",""),Index!E:F,2,FALSE)</f>
        <v>Tight End</v>
      </c>
      <c r="E121" t="str">
        <f t="shared" si="5"/>
        <v>S10</v>
      </c>
      <c r="F121" t="s">
        <v>247</v>
      </c>
      <c r="G121">
        <f t="shared" si="7"/>
        <v>153</v>
      </c>
      <c r="H121" t="s">
        <v>74</v>
      </c>
    </row>
    <row r="122" spans="1:8" x14ac:dyDescent="0.25">
      <c r="A122">
        <f t="shared" si="4"/>
        <v>1</v>
      </c>
      <c r="B122">
        <f t="shared" si="6"/>
        <v>9416</v>
      </c>
      <c r="C122" t="str">
        <f>[1]!RegExpSubstitute(MID(H122,FIND("- ",H122)+2,FIND("- ",H122,FIND("- ",H122)+1)-FIND("- ",H122)-2),"\&amp;quot\;.*\&amp;quot\;\W","")</f>
        <v xml:space="preserve">Avery Woodham </v>
      </c>
      <c r="D122" t="str">
        <f>VLOOKUP(SUBSTITUTE(TRIM(MID(H122,FIND(",TPE:",H122)-3,3)),"- ",""),Index!E:F,2,FALSE)</f>
        <v>Defensive Line</v>
      </c>
      <c r="E122" t="str">
        <f t="shared" si="5"/>
        <v>S10</v>
      </c>
      <c r="F122" t="s">
        <v>247</v>
      </c>
      <c r="G122">
        <f t="shared" si="7"/>
        <v>187</v>
      </c>
      <c r="H122" t="s">
        <v>208</v>
      </c>
    </row>
    <row r="123" spans="1:8" x14ac:dyDescent="0.25">
      <c r="A123">
        <f t="shared" si="4"/>
        <v>1</v>
      </c>
      <c r="B123">
        <f t="shared" si="6"/>
        <v>9349</v>
      </c>
      <c r="C123" t="str">
        <f>[1]!RegExpSubstitute(MID(H123,FIND("- ",H123)+2,FIND("- ",H123,FIND("- ",H123)+1)-FIND("- ",H123)-2),"\&amp;quot\;.*\&amp;quot\;\W","")</f>
        <v xml:space="preserve">Shannon Hobbs </v>
      </c>
      <c r="D123" t="str">
        <f>VLOOKUP(SUBSTITUTE(TRIM(MID(H123,FIND(",TPE:",H123)-3,3)),"- ",""),Index!E:F,2,FALSE)</f>
        <v>Safety</v>
      </c>
      <c r="E123" t="str">
        <f t="shared" si="5"/>
        <v>S10</v>
      </c>
      <c r="F123" t="s">
        <v>247</v>
      </c>
      <c r="G123">
        <f t="shared" si="7"/>
        <v>334</v>
      </c>
      <c r="H123" t="s">
        <v>75</v>
      </c>
    </row>
    <row r="124" spans="1:8" x14ac:dyDescent="0.25">
      <c r="A124">
        <f t="shared" si="4"/>
        <v>1</v>
      </c>
      <c r="B124">
        <f t="shared" si="6"/>
        <v>9243</v>
      </c>
      <c r="C124" t="str">
        <f>[1]!RegExpSubstitute(MID(H124,FIND("- ",H124)+2,FIND("- ",H124,FIND("- ",H124)+1)-FIND("- ",H124)-2),"\&amp;quot\;.*\&amp;quot\;\W","")</f>
        <v xml:space="preserve">Felix Hasselhoff </v>
      </c>
      <c r="D124" t="str">
        <f>VLOOKUP(SUBSTITUTE(TRIM(MID(H124,FIND(",TPE:",H124)-3,3)),"- ",""),Index!E:F,2,FALSE)</f>
        <v>Wide Receiver</v>
      </c>
      <c r="E124" t="str">
        <f t="shared" si="5"/>
        <v>S10</v>
      </c>
      <c r="F124" t="s">
        <v>247</v>
      </c>
      <c r="G124">
        <f t="shared" si="7"/>
        <v>338</v>
      </c>
      <c r="H124" t="s">
        <v>76</v>
      </c>
    </row>
    <row r="125" spans="1:8" x14ac:dyDescent="0.25">
      <c r="A125">
        <f t="shared" si="4"/>
        <v>1</v>
      </c>
      <c r="B125">
        <f t="shared" si="6"/>
        <v>9117</v>
      </c>
      <c r="C125" t="str">
        <f>[1]!RegExpSubstitute(MID(H125,FIND("- ",H125)+2,FIND("- ",H125,FIND("- ",H125)+1)-FIND("- ",H125)-2),"\&amp;quot\;.*\&amp;quot\;\W","")</f>
        <v xml:space="preserve">John Springfield </v>
      </c>
      <c r="D125" t="str">
        <f>VLOOKUP(SUBSTITUTE(TRIM(MID(H125,FIND(",TPE:",H125)-3,3)),"- ",""),Index!E:F,2,FALSE)</f>
        <v>Safety</v>
      </c>
      <c r="E125" t="str">
        <f t="shared" si="5"/>
        <v>S9</v>
      </c>
      <c r="F125" t="s">
        <v>247</v>
      </c>
      <c r="G125">
        <f t="shared" si="7"/>
        <v>57</v>
      </c>
      <c r="H125" t="s">
        <v>77</v>
      </c>
    </row>
    <row r="126" spans="1:8" x14ac:dyDescent="0.25">
      <c r="A126">
        <f t="shared" si="4"/>
        <v>1</v>
      </c>
      <c r="B126">
        <f t="shared" si="6"/>
        <v>8796</v>
      </c>
      <c r="C126" t="str">
        <f>[1]!RegExpSubstitute(MID(H126,FIND("- ",H126)+2,FIND("- ",H126,FIND("- ",H126)+1)-FIND("- ",H126)-2),"\&amp;quot\;.*\&amp;quot\;\W","")</f>
        <v xml:space="preserve">Tyler Griffin </v>
      </c>
      <c r="D126" t="str">
        <f>VLOOKUP(SUBSTITUTE(TRIM(MID(H126,FIND(",TPE:",H126)-3,3)),"- ",""),Index!E:F,2,FALSE)</f>
        <v>Linebacker</v>
      </c>
      <c r="E126" t="str">
        <f t="shared" si="5"/>
        <v>S9</v>
      </c>
      <c r="F126" t="s">
        <v>247</v>
      </c>
      <c r="G126">
        <f t="shared" si="7"/>
        <v>86</v>
      </c>
      <c r="H126" t="s">
        <v>78</v>
      </c>
    </row>
    <row r="127" spans="1:8" x14ac:dyDescent="0.25">
      <c r="A127">
        <f t="shared" si="4"/>
        <v>1</v>
      </c>
      <c r="B127">
        <f t="shared" si="6"/>
        <v>8627</v>
      </c>
      <c r="C127" t="str">
        <f>[1]!RegExpSubstitute(MID(H127,FIND("- ",H127)+2,FIND("- ",H127,FIND("- ",H127)+1)-FIND("- ",H127)-2),"\&amp;quot\;.*\&amp;quot\;\W","")</f>
        <v xml:space="preserve">Jai Turner </v>
      </c>
      <c r="D127" t="str">
        <f>VLOOKUP(SUBSTITUTE(TRIM(MID(H127,FIND(",TPE:",H127)-3,3)),"- ",""),Index!E:F,2,FALSE)</f>
        <v>Wide Receiver</v>
      </c>
      <c r="E127" t="str">
        <f t="shared" si="5"/>
        <v>S9</v>
      </c>
      <c r="F127" t="s">
        <v>247</v>
      </c>
      <c r="G127">
        <f t="shared" si="7"/>
        <v>76</v>
      </c>
      <c r="H127" t="s">
        <v>79</v>
      </c>
    </row>
    <row r="128" spans="1:8" x14ac:dyDescent="0.25">
      <c r="A128">
        <f t="shared" si="4"/>
        <v>1</v>
      </c>
      <c r="B128">
        <f t="shared" si="6"/>
        <v>8209</v>
      </c>
      <c r="C128" t="str">
        <f>[1]!RegExpSubstitute(MID(H128,FIND("- ",H128)+2,FIND("- ",H128,FIND("- ",H128)+1)-FIND("- ",H128)-2),"\&amp;quot\;.*\&amp;quot\;\W","")</f>
        <v xml:space="preserve">Hammer Jack </v>
      </c>
      <c r="D128" t="str">
        <f>VLOOKUP(SUBSTITUTE(TRIM(MID(H128,FIND(",TPE:",H128)-3,3)),"- ",""),Index!E:F,2,FALSE)</f>
        <v>Cornerback</v>
      </c>
      <c r="E128" t="str">
        <f t="shared" si="5"/>
        <v>S8</v>
      </c>
      <c r="F128" t="s">
        <v>247</v>
      </c>
      <c r="G128">
        <f t="shared" si="7"/>
        <v>73</v>
      </c>
      <c r="H128" t="s">
        <v>80</v>
      </c>
    </row>
    <row r="129" spans="1:8" x14ac:dyDescent="0.25">
      <c r="A129">
        <f t="shared" si="4"/>
        <v>1</v>
      </c>
      <c r="B129">
        <f t="shared" si="6"/>
        <v>8230</v>
      </c>
      <c r="C129" t="str">
        <f>[1]!RegExpSubstitute(MID(H129,FIND("- ",H129)+2,FIND("- ",H129,FIND("- ",H129)+1)-FIND("- ",H129)-2),"\&amp;quot\;.*\&amp;quot\;\W","")</f>
        <v xml:space="preserve">Fonz Nuno </v>
      </c>
      <c r="D129" t="str">
        <f>VLOOKUP(SUBSTITUTE(TRIM(MID(H129,FIND(",TPE:",H129)-3,3)),"- ",""),Index!E:F,2,FALSE)</f>
        <v>Defensive Line</v>
      </c>
      <c r="E129" t="str">
        <f t="shared" si="5"/>
        <v>S8</v>
      </c>
      <c r="F129" t="s">
        <v>247</v>
      </c>
      <c r="G129">
        <f t="shared" si="7"/>
        <v>67</v>
      </c>
      <c r="H129" t="s">
        <v>81</v>
      </c>
    </row>
    <row r="130" spans="1:8" x14ac:dyDescent="0.25">
      <c r="A130">
        <f t="shared" ref="A130:A193" si="8">COUNTIF($B$2:$B$375,B130)</f>
        <v>1</v>
      </c>
      <c r="B130">
        <f t="shared" si="6"/>
        <v>6978</v>
      </c>
      <c r="C130" t="str">
        <f>[1]!RegExpSubstitute(MID(H130,FIND("- ",H130)+2,FIND("- ",H130,FIND("- ",H130)+1)-FIND("- ",H130)-2),"\&amp;quot\;.*\&amp;quot\;\W","")</f>
        <v xml:space="preserve">Borro Gore </v>
      </c>
      <c r="D130" t="str">
        <f>VLOOKUP(SUBSTITUTE(TRIM(MID(H130,FIND(",TPE:",H130)-3,3)),"- ",""),Index!E:F,2,FALSE)</f>
        <v>Runningback</v>
      </c>
      <c r="E130" t="str">
        <f t="shared" ref="E130:E193" si="9">MID(H130,FIND("(",H130)+1,FIND(")",H130)-FIND("(",H130)-1)</f>
        <v>S6</v>
      </c>
      <c r="F130" t="s">
        <v>247</v>
      </c>
      <c r="G130">
        <f t="shared" si="7"/>
        <v>150</v>
      </c>
      <c r="H130" t="s">
        <v>82</v>
      </c>
    </row>
    <row r="131" spans="1:8" x14ac:dyDescent="0.25">
      <c r="A131">
        <f t="shared" si="8"/>
        <v>1</v>
      </c>
      <c r="B131">
        <f t="shared" ref="B131:B194" si="10">[1]!Numerize(MID(H131,FIND("=",H131),10))+0</f>
        <v>6214</v>
      </c>
      <c r="C131" t="str">
        <f>[1]!RegExpSubstitute(MID(H131,FIND("- ",H131)+2,FIND("- ",H131,FIND("- ",H131)+1)-FIND("- ",H131)-2),"\&amp;quot\;.*\&amp;quot\;\W","")</f>
        <v xml:space="preserve">Norman Bagwell </v>
      </c>
      <c r="D131" t="str">
        <f>VLOOKUP(SUBSTITUTE(TRIM(MID(H131,FIND(",TPE:",H131)-3,3)),"- ",""),Index!E:F,2,FALSE)</f>
        <v>Defensive Line</v>
      </c>
      <c r="E131" t="str">
        <f t="shared" si="9"/>
        <v>S6</v>
      </c>
      <c r="F131" t="s">
        <v>247</v>
      </c>
      <c r="G131">
        <f t="shared" ref="G131:G194" si="11">MID(H131,FIND("TPE: ",H131)+5,FIND(", ",H131,FIND("TPE: ",H131))-FIND("TPE: ",H131)-5)+0</f>
        <v>201</v>
      </c>
      <c r="H131" t="s">
        <v>83</v>
      </c>
    </row>
    <row r="132" spans="1:8" x14ac:dyDescent="0.25">
      <c r="A132">
        <f t="shared" si="8"/>
        <v>1</v>
      </c>
      <c r="B132">
        <f t="shared" si="10"/>
        <v>5481</v>
      </c>
      <c r="C132" t="str">
        <f>[1]!RegExpSubstitute(MID(H132,FIND("- ",H132)+2,FIND("- ",H132,FIND("- ",H132)+1)-FIND("- ",H132)-2),"\&amp;quot\;.*\&amp;quot\;\W","")</f>
        <v xml:space="preserve">Dean Jackson </v>
      </c>
      <c r="D132" t="str">
        <f>VLOOKUP(SUBSTITUTE(TRIM(MID(H132,FIND(",TPE:",H132)-3,3)),"- ",""),Index!E:F,2,FALSE)</f>
        <v>Kicker</v>
      </c>
      <c r="E132" t="str">
        <f t="shared" si="9"/>
        <v>S5</v>
      </c>
      <c r="F132" t="s">
        <v>247</v>
      </c>
      <c r="G132">
        <f t="shared" si="11"/>
        <v>686</v>
      </c>
      <c r="H132" t="s">
        <v>84</v>
      </c>
    </row>
    <row r="133" spans="1:8" x14ac:dyDescent="0.25">
      <c r="A133">
        <f t="shared" si="8"/>
        <v>1</v>
      </c>
      <c r="B133">
        <f t="shared" si="10"/>
        <v>2894</v>
      </c>
      <c r="C133" t="str">
        <f>[1]!RegExpSubstitute(MID(H133,FIND("- ",H133)+2,FIND("- ",H133,FIND("- ",H133)+1)-FIND("- ",H133)-2),"\&amp;quot\;.*\&amp;quot\;\W","")</f>
        <v xml:space="preserve">Trey Willie </v>
      </c>
      <c r="D133" t="str">
        <f>VLOOKUP(SUBSTITUTE(TRIM(MID(H133,FIND(",TPE:",H133)-3,3)),"- ",""),Index!E:F,2,FALSE)</f>
        <v>Wide Receiver</v>
      </c>
      <c r="E133" t="str">
        <f t="shared" si="9"/>
        <v>S3</v>
      </c>
      <c r="F133" t="s">
        <v>247</v>
      </c>
      <c r="G133">
        <f t="shared" si="11"/>
        <v>243</v>
      </c>
      <c r="H133" t="s">
        <v>85</v>
      </c>
    </row>
    <row r="134" spans="1:8" x14ac:dyDescent="0.25">
      <c r="A134">
        <f t="shared" si="8"/>
        <v>1</v>
      </c>
      <c r="B134">
        <f t="shared" si="10"/>
        <v>11721</v>
      </c>
      <c r="C134" t="str">
        <f>[1]!RegExpSubstitute(MID(H134,FIND("- ",H134)+2,FIND("- ",H134,FIND("- ",H134)+1)-FIND("- ",H134)-2),"\&amp;quot\;.*\&amp;quot\;\W","")</f>
        <v xml:space="preserve">Stan Francisco </v>
      </c>
      <c r="D134" t="str">
        <f>VLOOKUP(SUBSTITUTE(TRIM(MID(H134,FIND(",TPE:",H134)-3,3)),"- ",""),Index!E:F,2,FALSE)</f>
        <v>Tight End</v>
      </c>
      <c r="E134" t="str">
        <f t="shared" si="9"/>
        <v>S14</v>
      </c>
      <c r="F134" t="s">
        <v>248</v>
      </c>
      <c r="G134">
        <f t="shared" si="11"/>
        <v>219</v>
      </c>
      <c r="H134" t="s">
        <v>327</v>
      </c>
    </row>
    <row r="135" spans="1:8" x14ac:dyDescent="0.25">
      <c r="A135">
        <f t="shared" si="8"/>
        <v>1</v>
      </c>
      <c r="B135">
        <f t="shared" si="10"/>
        <v>11230</v>
      </c>
      <c r="C135" t="str">
        <f>[1]!RegExpSubstitute(MID(H135,FIND("- ",H135)+2,FIND("- ",H135,FIND("- ",H135)+1)-FIND("- ",H135)-2),"\&amp;quot\;.*\&amp;quot\;\W","")</f>
        <v xml:space="preserve">Tyler Swift </v>
      </c>
      <c r="D135" t="str">
        <f>VLOOKUP(SUBSTITUTE(TRIM(MID(H135,FIND(",TPE:",H135)-3,3)),"- ",""),Index!E:F,2,FALSE)</f>
        <v>Runningback</v>
      </c>
      <c r="E135" t="str">
        <f t="shared" si="9"/>
        <v>S13</v>
      </c>
      <c r="F135" t="s">
        <v>248</v>
      </c>
      <c r="G135">
        <f t="shared" si="11"/>
        <v>476</v>
      </c>
      <c r="H135" t="s">
        <v>328</v>
      </c>
    </row>
    <row r="136" spans="1:8" x14ac:dyDescent="0.25">
      <c r="A136">
        <f t="shared" si="8"/>
        <v>1</v>
      </c>
      <c r="B136">
        <f t="shared" si="10"/>
        <v>11077</v>
      </c>
      <c r="C136" t="str">
        <f>[1]!RegExpSubstitute(MID(H136,FIND("- ",H136)+2,FIND("- ",H136,FIND("- ",H136)+1)-FIND("- ",H136)-2),"\&amp;quot\;.*\&amp;quot\;\W","")</f>
        <v xml:space="preserve">Benson Harris </v>
      </c>
      <c r="D136" t="str">
        <f>VLOOKUP(SUBSTITUTE(TRIM(MID(H136,FIND(",TPE:",H136)-3,3)),"- ",""),Index!E:F,2,FALSE)</f>
        <v>Defensive Line</v>
      </c>
      <c r="E136" t="str">
        <f t="shared" si="9"/>
        <v>S13</v>
      </c>
      <c r="F136" t="s">
        <v>248</v>
      </c>
      <c r="G136">
        <f t="shared" si="11"/>
        <v>415</v>
      </c>
      <c r="H136" t="s">
        <v>329</v>
      </c>
    </row>
    <row r="137" spans="1:8" x14ac:dyDescent="0.25">
      <c r="A137">
        <f t="shared" si="8"/>
        <v>1</v>
      </c>
      <c r="B137">
        <f t="shared" si="10"/>
        <v>11032</v>
      </c>
      <c r="C137" t="str">
        <f>[1]!RegExpSubstitute(MID(H137,FIND("- ",H137)+2,FIND("- ",H137,FIND("- ",H137)+1)-FIND("- ",H137)-2),"\&amp;quot\;.*\&amp;quot\;\W","")</f>
        <v xml:space="preserve">Stayve Jerome Thomas </v>
      </c>
      <c r="D137" t="str">
        <f>VLOOKUP(SUBSTITUTE(TRIM(MID(H137,FIND(",TPE:",H137)-3,3)),"- ",""),Index!E:F,2,FALSE)</f>
        <v>Defensive Line</v>
      </c>
      <c r="E137" t="str">
        <f t="shared" si="9"/>
        <v>S12</v>
      </c>
      <c r="F137" t="s">
        <v>248</v>
      </c>
      <c r="G137">
        <f t="shared" si="11"/>
        <v>135</v>
      </c>
      <c r="H137" t="s">
        <v>13</v>
      </c>
    </row>
    <row r="138" spans="1:8" x14ac:dyDescent="0.25">
      <c r="A138">
        <f t="shared" si="8"/>
        <v>1</v>
      </c>
      <c r="B138">
        <f t="shared" si="10"/>
        <v>10941</v>
      </c>
      <c r="C138" t="str">
        <f>[1]!RegExpSubstitute(MID(H138,FIND("- ",H138)+2,FIND("- ",H138,FIND("- ",H138)+1)-FIND("- ",H138)-2),"\&amp;quot\;.*\&amp;quot\;\W","")</f>
        <v xml:space="preserve">Rylant Wright </v>
      </c>
      <c r="D138" t="str">
        <f>VLOOKUP(SUBSTITUTE(TRIM(MID(H138,FIND(",TPE:",H138)-3,3)),"- ",""),Index!E:F,2,FALSE)</f>
        <v>Wide Receiver</v>
      </c>
      <c r="E138" t="str">
        <f t="shared" si="9"/>
        <v>S12</v>
      </c>
      <c r="F138" t="s">
        <v>248</v>
      </c>
      <c r="G138">
        <f t="shared" si="11"/>
        <v>167</v>
      </c>
      <c r="H138" t="s">
        <v>132</v>
      </c>
    </row>
    <row r="139" spans="1:8" x14ac:dyDescent="0.25">
      <c r="A139">
        <f t="shared" si="8"/>
        <v>1</v>
      </c>
      <c r="B139">
        <f t="shared" si="10"/>
        <v>10541</v>
      </c>
      <c r="C139" t="str">
        <f>[1]!RegExpSubstitute(MID(H139,FIND("- ",H139)+2,FIND("- ",H139,FIND("- ",H139)+1)-FIND("- ",H139)-2),"\&amp;quot\;.*\&amp;quot\;\W","")</f>
        <v xml:space="preserve">Grayson Kuusela </v>
      </c>
      <c r="D139" t="str">
        <f>VLOOKUP(SUBSTITUTE(TRIM(MID(H139,FIND(",TPE:",H139)-3,3)),"- ",""),Index!E:F,2,FALSE)</f>
        <v>Defensive Line</v>
      </c>
      <c r="E139" t="str">
        <f t="shared" si="9"/>
        <v>S12</v>
      </c>
      <c r="F139" t="s">
        <v>248</v>
      </c>
      <c r="G139">
        <f t="shared" si="11"/>
        <v>457</v>
      </c>
      <c r="H139" t="s">
        <v>330</v>
      </c>
    </row>
    <row r="140" spans="1:8" x14ac:dyDescent="0.25">
      <c r="A140">
        <f t="shared" si="8"/>
        <v>1</v>
      </c>
      <c r="B140">
        <f t="shared" si="10"/>
        <v>10476</v>
      </c>
      <c r="C140" t="str">
        <f>[1]!RegExpSubstitute(MID(H140,FIND("- ",H140)+2,FIND("- ",H140,FIND("- ",H140)+1)-FIND("- ",H140)-2),"\&amp;quot\;.*\&amp;quot\;\W","")</f>
        <v xml:space="preserve">Aksel Danielsson </v>
      </c>
      <c r="D140" t="str">
        <f>VLOOKUP(SUBSTITUTE(TRIM(MID(H140,FIND(",TPE:",H140)-3,3)),"- ",""),Index!E:F,2,FALSE)</f>
        <v>Runningback</v>
      </c>
      <c r="E140" t="str">
        <f t="shared" si="9"/>
        <v>S12</v>
      </c>
      <c r="F140" t="s">
        <v>248</v>
      </c>
      <c r="G140">
        <f t="shared" si="11"/>
        <v>412</v>
      </c>
      <c r="H140" t="s">
        <v>133</v>
      </c>
    </row>
    <row r="141" spans="1:8" x14ac:dyDescent="0.25">
      <c r="A141">
        <f t="shared" si="8"/>
        <v>1</v>
      </c>
      <c r="B141">
        <f t="shared" si="10"/>
        <v>10133</v>
      </c>
      <c r="C141" t="str">
        <f>[1]!RegExpSubstitute(MID(H141,FIND("- ",H141)+2,FIND("- ",H141,FIND("- ",H141)+1)-FIND("- ",H141)-2),"\&amp;quot\;.*\&amp;quot\;\W","")</f>
        <v xml:space="preserve">Gordon Ramsey Jr. </v>
      </c>
      <c r="D141" t="str">
        <f>VLOOKUP(SUBSTITUTE(TRIM(MID(H141,FIND(",TPE:",H141)-3,3)),"- ",""),Index!E:F,2,FALSE)</f>
        <v>Cornerback</v>
      </c>
      <c r="E141" t="str">
        <f t="shared" si="9"/>
        <v>S11</v>
      </c>
      <c r="F141" t="s">
        <v>248</v>
      </c>
      <c r="G141">
        <f t="shared" si="11"/>
        <v>213</v>
      </c>
      <c r="H141" t="s">
        <v>134</v>
      </c>
    </row>
    <row r="142" spans="1:8" x14ac:dyDescent="0.25">
      <c r="A142">
        <f t="shared" si="8"/>
        <v>1</v>
      </c>
      <c r="B142">
        <f t="shared" si="10"/>
        <v>10048</v>
      </c>
      <c r="C142" t="str">
        <f>[1]!RegExpSubstitute(MID(H142,FIND("- ",H142)+2,FIND("- ",H142,FIND("- ",H142)+1)-FIND("- ",H142)-2),"\&amp;quot\;.*\&amp;quot\;\W","")</f>
        <v xml:space="preserve">Franklin Townsend </v>
      </c>
      <c r="D142" t="str">
        <f>VLOOKUP(SUBSTITUTE(TRIM(MID(H142,FIND(",TPE:",H142)-3,3)),"- ",""),Index!E:F,2,FALSE)</f>
        <v>Defensive Line</v>
      </c>
      <c r="E142" t="str">
        <f t="shared" si="9"/>
        <v>S11</v>
      </c>
      <c r="F142" t="s">
        <v>248</v>
      </c>
      <c r="G142">
        <f t="shared" si="11"/>
        <v>94</v>
      </c>
      <c r="H142" t="s">
        <v>135</v>
      </c>
    </row>
    <row r="143" spans="1:8" x14ac:dyDescent="0.25">
      <c r="A143">
        <f t="shared" si="8"/>
        <v>1</v>
      </c>
      <c r="B143">
        <f t="shared" si="10"/>
        <v>9846</v>
      </c>
      <c r="C143" t="str">
        <f>[1]!RegExpSubstitute(MID(H143,FIND("- ",H143)+2,FIND("- ",H143,FIND("- ",H143)+1)-FIND("- ",H143)-2),"\&amp;quot\;.*\&amp;quot\;\W","")</f>
        <v xml:space="preserve">Thjalfi Halvorsen </v>
      </c>
      <c r="D143" t="str">
        <f>VLOOKUP(SUBSTITUTE(TRIM(MID(H143,FIND(",TPE:",H143)-3,3)),"- ",""),Index!E:F,2,FALSE)</f>
        <v>Wide Receiver</v>
      </c>
      <c r="E143" t="str">
        <f t="shared" si="9"/>
        <v>S11</v>
      </c>
      <c r="F143" t="s">
        <v>248</v>
      </c>
      <c r="G143">
        <f t="shared" si="11"/>
        <v>212</v>
      </c>
      <c r="H143" t="s">
        <v>136</v>
      </c>
    </row>
    <row r="144" spans="1:8" x14ac:dyDescent="0.25">
      <c r="A144">
        <f t="shared" si="8"/>
        <v>1</v>
      </c>
      <c r="B144">
        <f t="shared" si="10"/>
        <v>9453</v>
      </c>
      <c r="C144" t="str">
        <f>[1]!RegExpSubstitute(MID(H144,FIND("- ",H144)+2,FIND("- ",H144,FIND("- ",H144)+1)-FIND("- ",H144)-2),"\&amp;quot\;.*\&amp;quot\;\W","")</f>
        <v xml:space="preserve">Lo Rax </v>
      </c>
      <c r="D144" t="str">
        <f>VLOOKUP(SUBSTITUTE(TRIM(MID(H144,FIND(",TPE:",H144)-3,3)),"- ",""),Index!E:F,2,FALSE)</f>
        <v>Defensive Line</v>
      </c>
      <c r="E144" t="str">
        <f t="shared" si="9"/>
        <v>S10</v>
      </c>
      <c r="F144" t="s">
        <v>248</v>
      </c>
      <c r="G144">
        <f t="shared" si="11"/>
        <v>710</v>
      </c>
      <c r="H144" t="s">
        <v>331</v>
      </c>
    </row>
    <row r="145" spans="1:8" x14ac:dyDescent="0.25">
      <c r="A145">
        <f t="shared" si="8"/>
        <v>1</v>
      </c>
      <c r="B145">
        <f t="shared" si="10"/>
        <v>9461</v>
      </c>
      <c r="C145" t="str">
        <f>[1]!RegExpSubstitute(MID(H145,FIND("- ",H145)+2,FIND("- ",H145,FIND("- ",H145)+1)-FIND("- ",H145)-2),"\&amp;quot\;.*\&amp;quot\;\W","")</f>
        <v xml:space="preserve">Damien Arnold </v>
      </c>
      <c r="D145" t="str">
        <f>VLOOKUP(SUBSTITUTE(TRIM(MID(H145,FIND(",TPE:",H145)-3,3)),"- ",""),Index!E:F,2,FALSE)</f>
        <v>Safety</v>
      </c>
      <c r="E145" t="str">
        <f t="shared" si="9"/>
        <v>S10</v>
      </c>
      <c r="F145" t="s">
        <v>248</v>
      </c>
      <c r="G145">
        <f t="shared" si="11"/>
        <v>279</v>
      </c>
      <c r="H145" t="s">
        <v>137</v>
      </c>
    </row>
    <row r="146" spans="1:8" x14ac:dyDescent="0.25">
      <c r="A146">
        <f t="shared" si="8"/>
        <v>1</v>
      </c>
      <c r="B146">
        <f t="shared" si="10"/>
        <v>8932</v>
      </c>
      <c r="C146" t="str">
        <f>[1]!RegExpSubstitute(MID(H146,FIND("- ",H146)+2,FIND("- ",H146,FIND("- ",H146)+1)-FIND("- ",H146)-2),"\&amp;quot\;.*\&amp;quot\;\W","")</f>
        <v xml:space="preserve">Jesse Marchand </v>
      </c>
      <c r="D146" t="str">
        <f>VLOOKUP(SUBSTITUTE(TRIM(MID(H146,FIND(",TPE:",H146)-3,3)),"- ",""),Index!E:F,2,FALSE)</f>
        <v>Linebacker</v>
      </c>
      <c r="E146" t="str">
        <f t="shared" si="9"/>
        <v>S9</v>
      </c>
      <c r="F146" t="s">
        <v>248</v>
      </c>
      <c r="G146">
        <f t="shared" si="11"/>
        <v>250</v>
      </c>
      <c r="H146" t="s">
        <v>138</v>
      </c>
    </row>
    <row r="147" spans="1:8" x14ac:dyDescent="0.25">
      <c r="A147">
        <f t="shared" si="8"/>
        <v>1</v>
      </c>
      <c r="B147">
        <f t="shared" si="10"/>
        <v>8797</v>
      </c>
      <c r="C147" t="str">
        <f>[1]!RegExpSubstitute(MID(H147,FIND("- ",H147)+2,FIND("- ",H147,FIND("- ",H147)+1)-FIND("- ",H147)-2),"\&amp;quot\;.*\&amp;quot\;\W","")</f>
        <v xml:space="preserve">Barnaby Earl </v>
      </c>
      <c r="D147" t="str">
        <f>VLOOKUP(SUBSTITUTE(TRIM(MID(H147,FIND(",TPE:",H147)-3,3)),"- ",""),Index!E:F,2,FALSE)</f>
        <v>Linebacker</v>
      </c>
      <c r="E147" t="str">
        <f t="shared" si="9"/>
        <v>S9</v>
      </c>
      <c r="F147" t="s">
        <v>248</v>
      </c>
      <c r="G147">
        <f t="shared" si="11"/>
        <v>214</v>
      </c>
      <c r="H147" t="s">
        <v>139</v>
      </c>
    </row>
    <row r="148" spans="1:8" x14ac:dyDescent="0.25">
      <c r="A148">
        <f t="shared" si="8"/>
        <v>1</v>
      </c>
      <c r="B148">
        <f t="shared" si="10"/>
        <v>8626</v>
      </c>
      <c r="C148" t="str">
        <f>[1]!RegExpSubstitute(MID(H148,FIND("- ",H148)+2,FIND("- ",H148,FIND("- ",H148)+1)-FIND("- ",H148)-2),"\&amp;quot\;.*\&amp;quot\;\W","")</f>
        <v xml:space="preserve">Daquan Richardson </v>
      </c>
      <c r="D148" t="str">
        <f>VLOOKUP(SUBSTITUTE(TRIM(MID(H148,FIND(",TPE:",H148)-3,3)),"- ",""),Index!E:F,2,FALSE)</f>
        <v>Cornerback</v>
      </c>
      <c r="E148" t="str">
        <f t="shared" si="9"/>
        <v>S9</v>
      </c>
      <c r="F148" t="s">
        <v>248</v>
      </c>
      <c r="G148">
        <f t="shared" si="11"/>
        <v>77</v>
      </c>
      <c r="H148" t="s">
        <v>124</v>
      </c>
    </row>
    <row r="149" spans="1:8" x14ac:dyDescent="0.25">
      <c r="A149">
        <f t="shared" si="8"/>
        <v>1</v>
      </c>
      <c r="B149">
        <f t="shared" si="10"/>
        <v>7941</v>
      </c>
      <c r="C149" t="str">
        <f>[1]!RegExpSubstitute(MID(H149,FIND("- ",H149)+2,FIND("- ",H149,FIND("- ",H149)+1)-FIND("- ",H149)-2),"\&amp;quot\;.*\&amp;quot\;\W","")</f>
        <v xml:space="preserve">Beat Meoff </v>
      </c>
      <c r="D149" t="str">
        <f>VLOOKUP(SUBSTITUTE(TRIM(MID(H149,FIND(",TPE:",H149)-3,3)),"- ",""),Index!E:F,2,FALSE)</f>
        <v>Kicker</v>
      </c>
      <c r="E149" t="str">
        <f t="shared" si="9"/>
        <v>S8</v>
      </c>
      <c r="F149" t="s">
        <v>248</v>
      </c>
      <c r="G149">
        <f t="shared" si="11"/>
        <v>170</v>
      </c>
      <c r="H149" t="s">
        <v>140</v>
      </c>
    </row>
    <row r="150" spans="1:8" x14ac:dyDescent="0.25">
      <c r="A150">
        <f t="shared" si="8"/>
        <v>1</v>
      </c>
      <c r="B150">
        <f t="shared" si="10"/>
        <v>7904</v>
      </c>
      <c r="C150" t="str">
        <f>[1]!RegExpSubstitute(MID(H150,FIND("- ",H150)+2,FIND("- ",H150,FIND("- ",H150)+1)-FIND("- ",H150)-2),"\&amp;quot\;.*\&amp;quot\;\W","")</f>
        <v xml:space="preserve">William H. Harrison </v>
      </c>
      <c r="D150" t="str">
        <f>VLOOKUP(SUBSTITUTE(TRIM(MID(H150,FIND(",TPE:",H150)-3,3)),"- ",""),Index!E:F,2,FALSE)</f>
        <v>Safety</v>
      </c>
      <c r="E150" t="str">
        <f t="shared" si="9"/>
        <v>S8</v>
      </c>
      <c r="F150" t="s">
        <v>248</v>
      </c>
      <c r="G150">
        <f t="shared" si="11"/>
        <v>899</v>
      </c>
      <c r="H150" t="s">
        <v>332</v>
      </c>
    </row>
    <row r="151" spans="1:8" x14ac:dyDescent="0.25">
      <c r="A151">
        <f t="shared" si="8"/>
        <v>1</v>
      </c>
      <c r="B151">
        <f t="shared" si="10"/>
        <v>7650</v>
      </c>
      <c r="C151" t="str">
        <f>[1]!RegExpSubstitute(MID(H151,FIND("- ",H151)+2,FIND("- ",H151,FIND("- ",H151)+1)-FIND("- ",H151)-2),"\&amp;quot\;.*\&amp;quot\;\W","")</f>
        <v xml:space="preserve">Vladimir Fyodorovich </v>
      </c>
      <c r="D151" t="str">
        <f>VLOOKUP(SUBSTITUTE(TRIM(MID(H151,FIND(",TPE:",H151)-3,3)),"- ",""),Index!E:F,2,FALSE)</f>
        <v>Wide Receiver</v>
      </c>
      <c r="E151" t="str">
        <f t="shared" si="9"/>
        <v>S7</v>
      </c>
      <c r="F151" t="s">
        <v>248</v>
      </c>
      <c r="G151">
        <f t="shared" si="11"/>
        <v>1188</v>
      </c>
      <c r="H151" t="s">
        <v>333</v>
      </c>
    </row>
    <row r="152" spans="1:8" x14ac:dyDescent="0.25">
      <c r="A152">
        <f t="shared" si="8"/>
        <v>1</v>
      </c>
      <c r="B152">
        <f t="shared" si="10"/>
        <v>6596</v>
      </c>
      <c r="C152" t="str">
        <f>[1]!RegExpSubstitute(MID(H152,FIND("- ",H152)+2,FIND("- ",H152,FIND("- ",H152)+1)-FIND("- ",H152)-2),"\&amp;quot\;.*\&amp;quot\;\W","")</f>
        <v xml:space="preserve">Borkus Maximus III </v>
      </c>
      <c r="D152" t="str">
        <f>VLOOKUP(SUBSTITUTE(TRIM(MID(H152,FIND(",TPE:",H152)-3,3)),"- ",""),Index!E:F,2,FALSE)</f>
        <v>Quarterback</v>
      </c>
      <c r="E152" t="str">
        <f t="shared" si="9"/>
        <v>S6</v>
      </c>
      <c r="F152" t="s">
        <v>248</v>
      </c>
      <c r="G152">
        <f t="shared" si="11"/>
        <v>901</v>
      </c>
      <c r="H152" t="s">
        <v>141</v>
      </c>
    </row>
    <row r="153" spans="1:8" x14ac:dyDescent="0.25">
      <c r="A153">
        <f t="shared" si="8"/>
        <v>1</v>
      </c>
      <c r="B153">
        <f t="shared" si="10"/>
        <v>11463</v>
      </c>
      <c r="C153" t="str">
        <f>[1]!RegExpSubstitute(MID(H153,FIND("- ",H153)+2,FIND("- ",H153,FIND("- ",H153)+1)-FIND("- ",H153)-2),"\&amp;quot\;.*\&amp;quot\;\W","")</f>
        <v xml:space="preserve">Johnny Blaze </v>
      </c>
      <c r="D153" t="str">
        <f>VLOOKUP(SUBSTITUTE(TRIM(MID(H153,FIND(",TPE:",H153)-3,3)),"- ",""),Index!E:F,2,FALSE)</f>
        <v>Tight End</v>
      </c>
      <c r="E153" t="str">
        <f t="shared" si="9"/>
        <v>S13</v>
      </c>
      <c r="F153" t="s">
        <v>249</v>
      </c>
      <c r="G153">
        <f t="shared" si="11"/>
        <v>340</v>
      </c>
      <c r="H153" t="s">
        <v>334</v>
      </c>
    </row>
    <row r="154" spans="1:8" x14ac:dyDescent="0.25">
      <c r="A154">
        <f t="shared" si="8"/>
        <v>1</v>
      </c>
      <c r="B154">
        <f t="shared" si="10"/>
        <v>11206</v>
      </c>
      <c r="C154" t="str">
        <f>[1]!RegExpSubstitute(MID(H154,FIND("- ",H154)+2,FIND("- ",H154,FIND("- ",H154)+1)-FIND("- ",H154)-2),"\&amp;quot\;.*\&amp;quot\;\W","")</f>
        <v xml:space="preserve">David Ginsberg </v>
      </c>
      <c r="D154" t="str">
        <f>VLOOKUP(SUBSTITUTE(TRIM(MID(H154,FIND(",TPE:",H154)-3,3)),"- ",""),Index!E:F,2,FALSE)</f>
        <v>Linebacker</v>
      </c>
      <c r="E154" t="str">
        <f t="shared" si="9"/>
        <v>S13</v>
      </c>
      <c r="F154" t="s">
        <v>249</v>
      </c>
      <c r="G154">
        <f t="shared" si="11"/>
        <v>309</v>
      </c>
      <c r="H154" t="s">
        <v>335</v>
      </c>
    </row>
    <row r="155" spans="1:8" x14ac:dyDescent="0.25">
      <c r="A155">
        <f t="shared" si="8"/>
        <v>1</v>
      </c>
      <c r="B155">
        <f t="shared" si="10"/>
        <v>10982</v>
      </c>
      <c r="C155" t="str">
        <f>[1]!RegExpSubstitute(MID(H155,FIND("- ",H155)+2,FIND("- ",H155,FIND("- ",H155)+1)-FIND("- ",H155)-2),"\&amp;quot\;.*\&amp;quot\;\W","")</f>
        <v xml:space="preserve">Tommy Salami </v>
      </c>
      <c r="D155" t="str">
        <f>VLOOKUP(SUBSTITUTE(TRIM(MID(H155,FIND(",TPE:",H155)-3,3)),"- ",""),Index!E:F,2,FALSE)</f>
        <v>Defensive Line</v>
      </c>
      <c r="E155" t="str">
        <f t="shared" si="9"/>
        <v>S12</v>
      </c>
      <c r="F155" t="s">
        <v>249</v>
      </c>
      <c r="G155">
        <f t="shared" si="11"/>
        <v>216</v>
      </c>
      <c r="H155" t="s">
        <v>142</v>
      </c>
    </row>
    <row r="156" spans="1:8" x14ac:dyDescent="0.25">
      <c r="A156">
        <f t="shared" si="8"/>
        <v>1</v>
      </c>
      <c r="B156">
        <f t="shared" si="10"/>
        <v>10643</v>
      </c>
      <c r="C156" t="str">
        <f>[1]!RegExpSubstitute(MID(H156,FIND("- ",H156)+2,FIND("- ",H156,FIND("- ",H156)+1)-FIND("- ",H156)-2),"\&amp;quot\;.*\&amp;quot\;\W","")</f>
        <v xml:space="preserve">Django Anoa'i </v>
      </c>
      <c r="D156" t="str">
        <f>VLOOKUP(SUBSTITUTE(TRIM(MID(H156,FIND(",TPE:",H156)-3,3)),"- ",""),Index!E:F,2,FALSE)</f>
        <v>Wide Receiver</v>
      </c>
      <c r="E156" t="str">
        <f t="shared" si="9"/>
        <v>S12</v>
      </c>
      <c r="F156" t="s">
        <v>249</v>
      </c>
      <c r="G156">
        <f t="shared" si="11"/>
        <v>381</v>
      </c>
      <c r="H156" t="s">
        <v>336</v>
      </c>
    </row>
    <row r="157" spans="1:8" x14ac:dyDescent="0.25">
      <c r="A157">
        <f t="shared" si="8"/>
        <v>1</v>
      </c>
      <c r="B157">
        <f t="shared" si="10"/>
        <v>10568</v>
      </c>
      <c r="C157" t="str">
        <f>[1]!RegExpSubstitute(MID(H157,FIND("- ",H157)+2,FIND("- ",H157,FIND("- ",H157)+1)-FIND("- ",H157)-2),"\&amp;quot\;.*\&amp;quot\;\W","")</f>
        <v xml:space="preserve">Thorian Skarsgard </v>
      </c>
      <c r="D157" t="str">
        <f>VLOOKUP(SUBSTITUTE(TRIM(MID(H157,FIND(",TPE:",H157)-3,3)),"- ",""),Index!E:F,2,FALSE)</f>
        <v>Defensive Line</v>
      </c>
      <c r="E157" t="str">
        <f t="shared" si="9"/>
        <v>S12</v>
      </c>
      <c r="F157" t="s">
        <v>249</v>
      </c>
      <c r="G157">
        <f t="shared" si="11"/>
        <v>573</v>
      </c>
      <c r="H157" t="s">
        <v>337</v>
      </c>
    </row>
    <row r="158" spans="1:8" x14ac:dyDescent="0.25">
      <c r="A158">
        <f t="shared" si="8"/>
        <v>1</v>
      </c>
      <c r="B158">
        <f t="shared" si="10"/>
        <v>10206</v>
      </c>
      <c r="C158" t="str">
        <f>[1]!RegExpSubstitute(MID(H158,FIND("- ",H158)+2,FIND("- ",H158,FIND("- ",H158)+1)-FIND("- ",H158)-2),"\&amp;quot\;.*\&amp;quot\;\W","")</f>
        <v xml:space="preserve">Jonathan Rice </v>
      </c>
      <c r="D158" t="str">
        <f>VLOOKUP(SUBSTITUTE(TRIM(MID(H158,FIND(",TPE:",H158)-3,3)),"- ",""),Index!E:F,2,FALSE)</f>
        <v>Cornerback</v>
      </c>
      <c r="E158" t="str">
        <f t="shared" si="9"/>
        <v>S11</v>
      </c>
      <c r="F158" t="s">
        <v>249</v>
      </c>
      <c r="G158">
        <f t="shared" si="11"/>
        <v>421</v>
      </c>
      <c r="H158" t="s">
        <v>143</v>
      </c>
    </row>
    <row r="159" spans="1:8" x14ac:dyDescent="0.25">
      <c r="A159">
        <f t="shared" si="8"/>
        <v>1</v>
      </c>
      <c r="B159">
        <f t="shared" si="10"/>
        <v>10056</v>
      </c>
      <c r="C159" t="str">
        <f>[1]!RegExpSubstitute(MID(H159,FIND("- ",H159)+2,FIND("- ",H159,FIND("- ",H159)+1)-FIND("- ",H159)-2),"\&amp;quot\;.*\&amp;quot\;\W","")</f>
        <v xml:space="preserve">Dan Schneider </v>
      </c>
      <c r="D159" t="str">
        <f>VLOOKUP(SUBSTITUTE(TRIM(MID(H159,FIND(",TPE:",H159)-3,3)),"- ",""),Index!E:F,2,FALSE)</f>
        <v>Safety</v>
      </c>
      <c r="E159" t="str">
        <f t="shared" si="9"/>
        <v>S11</v>
      </c>
      <c r="F159" t="s">
        <v>249</v>
      </c>
      <c r="G159">
        <f t="shared" si="11"/>
        <v>720</v>
      </c>
      <c r="H159" t="s">
        <v>338</v>
      </c>
    </row>
    <row r="160" spans="1:8" x14ac:dyDescent="0.25">
      <c r="A160">
        <f t="shared" si="8"/>
        <v>1</v>
      </c>
      <c r="B160">
        <f t="shared" si="10"/>
        <v>9991</v>
      </c>
      <c r="C160" t="str">
        <f>[1]!RegExpSubstitute(MID(H160,FIND("- ",H160)+2,FIND("- ",H160,FIND("- ",H160)+1)-FIND("- ",H160)-2),"\&amp;quot\;.*\&amp;quot\;\W","")</f>
        <v xml:space="preserve">Tana Keïta </v>
      </c>
      <c r="D160" t="str">
        <f>VLOOKUP(SUBSTITUTE(TRIM(MID(H160,FIND(",TPE:",H160)-3,3)),"- ",""),Index!E:F,2,FALSE)</f>
        <v>Linebacker</v>
      </c>
      <c r="E160" t="str">
        <f t="shared" si="9"/>
        <v>S11</v>
      </c>
      <c r="F160" t="s">
        <v>249</v>
      </c>
      <c r="G160">
        <f t="shared" si="11"/>
        <v>622</v>
      </c>
      <c r="H160" t="s">
        <v>339</v>
      </c>
    </row>
    <row r="161" spans="1:8" x14ac:dyDescent="0.25">
      <c r="A161">
        <f t="shared" si="8"/>
        <v>1</v>
      </c>
      <c r="B161">
        <f t="shared" si="10"/>
        <v>9997</v>
      </c>
      <c r="C161" t="str">
        <f>[1]!RegExpSubstitute(MID(H161,FIND("- ",H161)+2,FIND("- ",H161,FIND("- ",H161)+1)-FIND("- ",H161)-2),"\&amp;quot\;.*\&amp;quot\;\W","")</f>
        <v xml:space="preserve">Marc Spector </v>
      </c>
      <c r="D161" t="str">
        <f>VLOOKUP(SUBSTITUTE(TRIM(MID(H161,FIND(",TPE:",H161)-3,3)),"- ",""),Index!E:F,2,FALSE)</f>
        <v>Defensive Line</v>
      </c>
      <c r="E161" t="str">
        <f t="shared" si="9"/>
        <v>S11</v>
      </c>
      <c r="F161" t="s">
        <v>249</v>
      </c>
      <c r="G161">
        <f t="shared" si="11"/>
        <v>520</v>
      </c>
      <c r="H161" t="s">
        <v>340</v>
      </c>
    </row>
    <row r="162" spans="1:8" x14ac:dyDescent="0.25">
      <c r="A162">
        <f t="shared" si="8"/>
        <v>1</v>
      </c>
      <c r="B162">
        <f t="shared" si="10"/>
        <v>9850</v>
      </c>
      <c r="C162" t="str">
        <f>[1]!RegExpSubstitute(MID(H162,FIND("- ",H162)+2,FIND("- ",H162,FIND("- ",H162)+1)-FIND("- ",H162)-2),"\&amp;quot\;.*\&amp;quot\;\W","")</f>
        <v xml:space="preserve">Sunnycursed </v>
      </c>
      <c r="D162" t="str">
        <f>VLOOKUP(SUBSTITUTE(TRIM(MID(H162,FIND(",TPE:",H162)-3,3)),"- ",""),Index!E:F,2,FALSE)</f>
        <v>Wide Receiver</v>
      </c>
      <c r="E162" t="str">
        <f t="shared" si="9"/>
        <v>S11</v>
      </c>
      <c r="F162" t="s">
        <v>249</v>
      </c>
      <c r="G162">
        <f t="shared" si="11"/>
        <v>791</v>
      </c>
      <c r="H162" t="s">
        <v>341</v>
      </c>
    </row>
    <row r="163" spans="1:8" x14ac:dyDescent="0.25">
      <c r="A163">
        <f t="shared" si="8"/>
        <v>1</v>
      </c>
      <c r="B163">
        <f t="shared" si="10"/>
        <v>9776</v>
      </c>
      <c r="C163" t="str">
        <f>[1]!RegExpSubstitute(MID(H163,FIND("- ",H163)+2,FIND("- ",H163,FIND("- ",H163)+1)-FIND("- ",H163)-2),"\&amp;quot\;.*\&amp;quot\;\W","")</f>
        <v xml:space="preserve">Adam Anderson </v>
      </c>
      <c r="D163" t="str">
        <f>VLOOKUP(SUBSTITUTE(TRIM(MID(H163,FIND(",TPE:",H163)-3,3)),"- ",""),Index!E:F,2,FALSE)</f>
        <v>Kicker</v>
      </c>
      <c r="E163" t="str">
        <f t="shared" si="9"/>
        <v>S10</v>
      </c>
      <c r="F163" t="s">
        <v>249</v>
      </c>
      <c r="G163">
        <f t="shared" si="11"/>
        <v>140</v>
      </c>
      <c r="H163" t="s">
        <v>144</v>
      </c>
    </row>
    <row r="164" spans="1:8" x14ac:dyDescent="0.25">
      <c r="A164">
        <f t="shared" si="8"/>
        <v>1</v>
      </c>
      <c r="B164">
        <f t="shared" si="10"/>
        <v>9741</v>
      </c>
      <c r="C164" t="str">
        <f>[1]!RegExpSubstitute(MID(H164,FIND("- ",H164)+2,FIND("- ",H164,FIND("- ",H164)+1)-FIND("- ",H164)-2),"\&amp;quot\;.*\&amp;quot\;\W","")</f>
        <v xml:space="preserve">Seer Zephyrous </v>
      </c>
      <c r="D164" t="str">
        <f>VLOOKUP(SUBSTITUTE(TRIM(MID(H164,FIND(",TPE:",H164)-3,3)),"- ",""),Index!E:F,2,FALSE)</f>
        <v>Runningback</v>
      </c>
      <c r="E164" t="str">
        <f t="shared" si="9"/>
        <v>S10</v>
      </c>
      <c r="F164" t="s">
        <v>249</v>
      </c>
      <c r="G164">
        <f t="shared" si="11"/>
        <v>382</v>
      </c>
      <c r="H164" t="s">
        <v>145</v>
      </c>
    </row>
    <row r="165" spans="1:8" x14ac:dyDescent="0.25">
      <c r="A165">
        <f t="shared" si="8"/>
        <v>1</v>
      </c>
      <c r="B165">
        <f t="shared" si="10"/>
        <v>9290</v>
      </c>
      <c r="C165" t="str">
        <f>[1]!RegExpSubstitute(MID(H165,FIND("- ",H165)+2,FIND("- ",H165,FIND("- ",H165)+1)-FIND("- ",H165)-2),"\&amp;quot\;.*\&amp;quot\;\W","")</f>
        <v xml:space="preserve">Danny Grithead </v>
      </c>
      <c r="D165" t="str">
        <f>VLOOKUP(SUBSTITUTE(TRIM(MID(H165,FIND(",TPE:",H165)-3,3)),"- ",""),Index!E:F,2,FALSE)</f>
        <v>Safety</v>
      </c>
      <c r="E165" t="str">
        <f t="shared" si="9"/>
        <v>S10</v>
      </c>
      <c r="F165" t="s">
        <v>249</v>
      </c>
      <c r="G165">
        <f t="shared" si="11"/>
        <v>1005</v>
      </c>
      <c r="H165" t="s">
        <v>342</v>
      </c>
    </row>
    <row r="166" spans="1:8" x14ac:dyDescent="0.25">
      <c r="A166">
        <f t="shared" si="8"/>
        <v>1</v>
      </c>
      <c r="B166">
        <f t="shared" si="10"/>
        <v>8771</v>
      </c>
      <c r="C166" t="str">
        <f>[1]!RegExpSubstitute(MID(H166,FIND("- ",H166)+2,FIND("- ",H166,FIND("- ",H166)+1)-FIND("- ",H166)-2),"\&amp;quot\;.*\&amp;quot\;\W","")</f>
        <v xml:space="preserve">Gus T.T. Showbiz </v>
      </c>
      <c r="D166" t="str">
        <f>VLOOKUP(SUBSTITUTE(TRIM(MID(H166,FIND(",TPE:",H166)-3,3)),"- ",""),Index!E:F,2,FALSE)</f>
        <v>Quarterback</v>
      </c>
      <c r="E166" t="str">
        <f t="shared" si="9"/>
        <v>S9</v>
      </c>
      <c r="F166" t="s">
        <v>249</v>
      </c>
      <c r="G166">
        <f t="shared" si="11"/>
        <v>1012</v>
      </c>
      <c r="H166" t="s">
        <v>343</v>
      </c>
    </row>
    <row r="167" spans="1:8" x14ac:dyDescent="0.25">
      <c r="A167">
        <f t="shared" si="8"/>
        <v>1</v>
      </c>
      <c r="B167">
        <f t="shared" si="10"/>
        <v>8740</v>
      </c>
      <c r="C167" t="str">
        <f>[1]!RegExpSubstitute(MID(H167,FIND("- ",H167)+2,FIND("- ",H167,FIND("- ",H167)+1)-FIND("- ",H167)-2),"\&amp;quot\;.*\&amp;quot\;\W","")</f>
        <v xml:space="preserve">Ricky Adams </v>
      </c>
      <c r="D167" t="str">
        <f>VLOOKUP(SUBSTITUTE(TRIM(MID(H167,FIND(",TPE:",H167)-3,3)),"- ",""),Index!E:F,2,FALSE)</f>
        <v>Runningback</v>
      </c>
      <c r="E167" t="str">
        <f t="shared" si="9"/>
        <v>S9</v>
      </c>
      <c r="F167" t="s">
        <v>249</v>
      </c>
      <c r="G167">
        <f t="shared" si="11"/>
        <v>702</v>
      </c>
      <c r="H167" t="s">
        <v>209</v>
      </c>
    </row>
    <row r="168" spans="1:8" x14ac:dyDescent="0.25">
      <c r="A168">
        <f t="shared" si="8"/>
        <v>1</v>
      </c>
      <c r="B168">
        <f t="shared" si="10"/>
        <v>8552</v>
      </c>
      <c r="C168" t="str">
        <f>[1]!RegExpSubstitute(MID(H168,FIND("- ",H168)+2,FIND("- ",H168,FIND("- ",H168)+1)-FIND("- ",H168)-2),"\&amp;quot\;.*\&amp;quot\;\W","")</f>
        <v xml:space="preserve">Young Spaghetti </v>
      </c>
      <c r="D168" t="str">
        <f>VLOOKUP(SUBSTITUTE(TRIM(MID(H168,FIND(",TPE:",H168)-3,3)),"- ",""),Index!E:F,2,FALSE)</f>
        <v>Defensive Line</v>
      </c>
      <c r="E168" t="str">
        <f t="shared" si="9"/>
        <v>S9</v>
      </c>
      <c r="F168" t="s">
        <v>249</v>
      </c>
      <c r="G168">
        <f t="shared" si="11"/>
        <v>110</v>
      </c>
      <c r="H168" t="s">
        <v>146</v>
      </c>
    </row>
    <row r="169" spans="1:8" x14ac:dyDescent="0.25">
      <c r="A169">
        <f t="shared" si="8"/>
        <v>1</v>
      </c>
      <c r="B169">
        <f t="shared" si="10"/>
        <v>7834</v>
      </c>
      <c r="C169" t="str">
        <f>[1]!RegExpSubstitute(MID(H169,FIND("- ",H169)+2,FIND("- ",H169,FIND("- ",H169)+1)-FIND("- ",H169)-2),"\&amp;quot\;.*\&amp;quot\;\W","")</f>
        <v xml:space="preserve">Rickey Ramero </v>
      </c>
      <c r="D169" t="str">
        <f>VLOOKUP(SUBSTITUTE(TRIM(MID(H169,FIND(",TPE:",H169)-3,3)),"- ",""),Index!E:F,2,FALSE)</f>
        <v>Defensive Line</v>
      </c>
      <c r="E169" t="str">
        <f t="shared" si="9"/>
        <v>S8</v>
      </c>
      <c r="F169" t="s">
        <v>249</v>
      </c>
      <c r="G169">
        <f t="shared" si="11"/>
        <v>551</v>
      </c>
      <c r="H169" t="s">
        <v>147</v>
      </c>
    </row>
    <row r="170" spans="1:8" x14ac:dyDescent="0.25">
      <c r="A170">
        <f t="shared" si="8"/>
        <v>1</v>
      </c>
      <c r="B170">
        <f t="shared" si="10"/>
        <v>7823</v>
      </c>
      <c r="C170" t="str">
        <f>[1]!RegExpSubstitute(MID(H170,FIND("- ",H170)+2,FIND("- ",H170,FIND("- ",H170)+1)-FIND("- ",H170)-2),"\&amp;quot\;.*\&amp;quot\;\W","")</f>
        <v xml:space="preserve">Mason Brown </v>
      </c>
      <c r="D170" t="str">
        <f>VLOOKUP(SUBSTITUTE(TRIM(MID(H170,FIND(",TPE:",H170)-3,3)),"- ",""),Index!E:F,2,FALSE)</f>
        <v>Safety</v>
      </c>
      <c r="E170" t="str">
        <f t="shared" si="9"/>
        <v>S7</v>
      </c>
      <c r="F170" t="s">
        <v>249</v>
      </c>
      <c r="G170">
        <f t="shared" si="11"/>
        <v>880</v>
      </c>
      <c r="H170" t="s">
        <v>344</v>
      </c>
    </row>
    <row r="171" spans="1:8" x14ac:dyDescent="0.25">
      <c r="A171">
        <f t="shared" si="8"/>
        <v>1</v>
      </c>
      <c r="B171">
        <f t="shared" si="10"/>
        <v>6550</v>
      </c>
      <c r="C171" t="str">
        <f>[1]!RegExpSubstitute(MID(H171,FIND("- ",H171)+2,FIND("- ",H171,FIND("- ",H171)+1)-FIND("- ",H171)-2),"\&amp;quot\;.*\&amp;quot\;\W","")</f>
        <v xml:space="preserve">Jaylon Broxton </v>
      </c>
      <c r="D171" t="str">
        <f>VLOOKUP(SUBSTITUTE(TRIM(MID(H171,FIND(",TPE:",H171)-3,3)),"- ",""),Index!E:F,2,FALSE)</f>
        <v>Safety</v>
      </c>
      <c r="E171" t="str">
        <f t="shared" si="9"/>
        <v>S6</v>
      </c>
      <c r="F171" t="s">
        <v>249</v>
      </c>
      <c r="G171">
        <f t="shared" si="11"/>
        <v>894</v>
      </c>
      <c r="H171" t="s">
        <v>148</v>
      </c>
    </row>
    <row r="172" spans="1:8" x14ac:dyDescent="0.25">
      <c r="A172">
        <f t="shared" si="8"/>
        <v>1</v>
      </c>
      <c r="B172">
        <f t="shared" si="10"/>
        <v>6250</v>
      </c>
      <c r="C172" t="str">
        <f>[1]!RegExpSubstitute(MID(H172,FIND("- ",H172)+2,FIND("- ",H172,FIND("- ",H172)+1)-FIND("- ",H172)-2),"\&amp;quot\;.*\&amp;quot\;\W","")</f>
        <v xml:space="preserve">Glenn McPoyal </v>
      </c>
      <c r="D172" t="str">
        <f>VLOOKUP(SUBSTITUTE(TRIM(MID(H172,FIND(",TPE:",H172)-3,3)),"- ",""),Index!E:F,2,FALSE)</f>
        <v>Tight End</v>
      </c>
      <c r="E172" t="str">
        <f t="shared" si="9"/>
        <v>S6</v>
      </c>
      <c r="F172" t="s">
        <v>249</v>
      </c>
      <c r="G172">
        <f t="shared" si="11"/>
        <v>336</v>
      </c>
      <c r="H172" t="s">
        <v>149</v>
      </c>
    </row>
    <row r="173" spans="1:8" x14ac:dyDescent="0.25">
      <c r="A173">
        <f t="shared" si="8"/>
        <v>1</v>
      </c>
      <c r="B173">
        <f t="shared" si="10"/>
        <v>5326</v>
      </c>
      <c r="C173" t="str">
        <f>[1]!RegExpSubstitute(MID(H173,FIND("- ",H173)+2,FIND("- ",H173,FIND("- ",H173)+1)-FIND("- ",H173)-2),"\&amp;quot\;.*\&amp;quot\;\W","")</f>
        <v xml:space="preserve">Ryan Sierra </v>
      </c>
      <c r="D173" t="str">
        <f>VLOOKUP(SUBSTITUTE(TRIM(MID(H173,FIND(",TPE:",H173)-3,3)),"- ",""),Index!E:F,2,FALSE)</f>
        <v>Defensive Line</v>
      </c>
      <c r="E173" t="str">
        <f t="shared" si="9"/>
        <v>S5</v>
      </c>
      <c r="F173" t="s">
        <v>249</v>
      </c>
      <c r="G173">
        <f t="shared" si="11"/>
        <v>175</v>
      </c>
      <c r="H173" t="s">
        <v>191</v>
      </c>
    </row>
    <row r="174" spans="1:8" x14ac:dyDescent="0.25">
      <c r="A174">
        <f t="shared" si="8"/>
        <v>1</v>
      </c>
      <c r="B174">
        <f t="shared" si="10"/>
        <v>5103</v>
      </c>
      <c r="C174" t="str">
        <f>[1]!RegExpSubstitute(MID(H174,FIND("- ",H174)+2,FIND("- ",H174,FIND("- ",H174)+1)-FIND("- ",H174)-2),"\&amp;quot\;.*\&amp;quot\;\W","")</f>
        <v xml:space="preserve">Carlito Crush </v>
      </c>
      <c r="D174" t="str">
        <f>VLOOKUP(SUBSTITUTE(TRIM(MID(H174,FIND(",TPE:",H174)-3,3)),"- ",""),Index!E:F,2,FALSE)</f>
        <v>Wide Receiver</v>
      </c>
      <c r="E174" t="str">
        <f t="shared" si="9"/>
        <v>S5</v>
      </c>
      <c r="F174" t="s">
        <v>249</v>
      </c>
      <c r="G174">
        <f t="shared" si="11"/>
        <v>795</v>
      </c>
      <c r="H174" t="s">
        <v>345</v>
      </c>
    </row>
    <row r="175" spans="1:8" x14ac:dyDescent="0.25">
      <c r="A175">
        <f t="shared" si="8"/>
        <v>1</v>
      </c>
      <c r="B175">
        <f t="shared" si="10"/>
        <v>11075</v>
      </c>
      <c r="C175" t="str">
        <f>[1]!RegExpSubstitute(MID(H175,FIND("- ",H175)+2,FIND("- ",H175,FIND("- ",H175)+1)-FIND("- ",H175)-2),"\&amp;quot\;.*\&amp;quot\;\W","")</f>
        <v xml:space="preserve">Harvey Danger </v>
      </c>
      <c r="D175" t="str">
        <f>VLOOKUP(SUBSTITUTE(TRIM(MID(H175,FIND(",TPE:",H175)-3,3)),"- ",""),Index!E:F,2,FALSE)</f>
        <v>Tight End</v>
      </c>
      <c r="E175" t="str">
        <f t="shared" si="9"/>
        <v>S13</v>
      </c>
      <c r="F175" t="s">
        <v>250</v>
      </c>
      <c r="G175">
        <f t="shared" si="11"/>
        <v>67</v>
      </c>
      <c r="H175" t="s">
        <v>108</v>
      </c>
    </row>
    <row r="176" spans="1:8" x14ac:dyDescent="0.25">
      <c r="A176">
        <f t="shared" si="8"/>
        <v>1</v>
      </c>
      <c r="B176">
        <f t="shared" si="10"/>
        <v>10984</v>
      </c>
      <c r="C176" t="str">
        <f>[1]!RegExpSubstitute(MID(H176,FIND("- ",H176)+2,FIND("- ",H176,FIND("- ",H176)+1)-FIND("- ",H176)-2),"\&amp;quot\;.*\&amp;quot\;\W","")</f>
        <v xml:space="preserve">Shane Trigg </v>
      </c>
      <c r="D176" t="str">
        <f>VLOOKUP(SUBSTITUTE(TRIM(MID(H176,FIND(",TPE:",H176)-3,3)),"- ",""),Index!E:F,2,FALSE)</f>
        <v>Defensive Line</v>
      </c>
      <c r="E176" t="str">
        <f t="shared" si="9"/>
        <v>S12</v>
      </c>
      <c r="F176" t="s">
        <v>250</v>
      </c>
      <c r="G176">
        <f t="shared" si="11"/>
        <v>50</v>
      </c>
      <c r="H176" t="s">
        <v>109</v>
      </c>
    </row>
    <row r="177" spans="1:8" x14ac:dyDescent="0.25">
      <c r="A177">
        <f t="shared" si="8"/>
        <v>1</v>
      </c>
      <c r="B177">
        <f t="shared" si="10"/>
        <v>9836</v>
      </c>
      <c r="C177" t="str">
        <f>[1]!RegExpSubstitute(MID(H177,FIND("- ",H177)+2,FIND("- ",H177,FIND("- ",H177)+1)-FIND("- ",H177)-2),"\&amp;quot\;.*\&amp;quot\;\W","")</f>
        <v xml:space="preserve">Blake Bishop </v>
      </c>
      <c r="D177" t="str">
        <f>VLOOKUP(SUBSTITUTE(TRIM(MID(H177,FIND(",TPE:",H177)-3,3)),"- ",""),Index!E:F,2,FALSE)</f>
        <v>Quarterback</v>
      </c>
      <c r="E177" t="str">
        <f t="shared" si="9"/>
        <v>S11</v>
      </c>
      <c r="F177" t="s">
        <v>250</v>
      </c>
      <c r="G177">
        <f t="shared" si="11"/>
        <v>50</v>
      </c>
      <c r="H177" t="s">
        <v>110</v>
      </c>
    </row>
    <row r="178" spans="1:8" x14ac:dyDescent="0.25">
      <c r="A178">
        <f t="shared" si="8"/>
        <v>1</v>
      </c>
      <c r="B178">
        <f t="shared" si="10"/>
        <v>9738</v>
      </c>
      <c r="C178" t="str">
        <f>[1]!RegExpSubstitute(MID(H178,FIND("- ",H178)+2,FIND("- ",H178,FIND("- ",H178)+1)-FIND("- ",H178)-2),"\&amp;quot\;.*\&amp;quot\;\W","")</f>
        <v xml:space="preserve">Augustin LaDande </v>
      </c>
      <c r="D178" t="str">
        <f>VLOOKUP(SUBSTITUTE(TRIM(MID(H178,FIND(",TPE:",H178)-3,3)),"- ",""),Index!E:F,2,FALSE)</f>
        <v>Wide Receiver</v>
      </c>
      <c r="E178" t="str">
        <f t="shared" si="9"/>
        <v>S10</v>
      </c>
      <c r="F178" t="s">
        <v>250</v>
      </c>
      <c r="G178">
        <f t="shared" si="11"/>
        <v>50</v>
      </c>
      <c r="H178" t="s">
        <v>111</v>
      </c>
    </row>
    <row r="179" spans="1:8" x14ac:dyDescent="0.25">
      <c r="A179">
        <f t="shared" si="8"/>
        <v>1</v>
      </c>
      <c r="B179">
        <f t="shared" si="10"/>
        <v>9730</v>
      </c>
      <c r="C179" t="str">
        <f>[1]!RegExpSubstitute(MID(H179,FIND("- ",H179)+2,FIND("- ",H179,FIND("- ",H179)+1)-FIND("- ",H179)-2),"\&amp;quot\;.*\&amp;quot\;\W","")</f>
        <v xml:space="preserve">Lanoi Arnold </v>
      </c>
      <c r="D179" t="str">
        <f>VLOOKUP(SUBSTITUTE(TRIM(MID(H179,FIND(",TPE:",H179)-3,3)),"- ",""),Index!E:F,2,FALSE)</f>
        <v>Defensive Line</v>
      </c>
      <c r="E179" t="str">
        <f t="shared" si="9"/>
        <v>S10</v>
      </c>
      <c r="F179" t="s">
        <v>250</v>
      </c>
      <c r="G179">
        <f t="shared" si="11"/>
        <v>50</v>
      </c>
      <c r="H179" t="s">
        <v>63</v>
      </c>
    </row>
    <row r="180" spans="1:8" x14ac:dyDescent="0.25">
      <c r="A180">
        <f t="shared" si="8"/>
        <v>1</v>
      </c>
      <c r="B180">
        <f t="shared" si="10"/>
        <v>9726</v>
      </c>
      <c r="C180" t="str">
        <f>[1]!RegExpSubstitute(MID(H180,FIND("- ",H180)+2,FIND("- ",H180,FIND("- ",H180)+1)-FIND("- ",H180)-2),"\&amp;quot\;.*\&amp;quot\;\W","")</f>
        <v xml:space="preserve">Ray Slick </v>
      </c>
      <c r="D180" t="str">
        <f>VLOOKUP(SUBSTITUTE(TRIM(MID(H180,FIND(",TPE:",H180)-3,3)),"- ",""),Index!E:F,2,FALSE)</f>
        <v>Linebacker</v>
      </c>
      <c r="E180" t="str">
        <f t="shared" si="9"/>
        <v>S10</v>
      </c>
      <c r="F180" t="s">
        <v>250</v>
      </c>
      <c r="G180">
        <f t="shared" si="11"/>
        <v>57</v>
      </c>
      <c r="H180" t="s">
        <v>112</v>
      </c>
    </row>
    <row r="181" spans="1:8" x14ac:dyDescent="0.25">
      <c r="A181">
        <f t="shared" si="8"/>
        <v>1</v>
      </c>
      <c r="B181">
        <f t="shared" si="10"/>
        <v>9540</v>
      </c>
      <c r="C181" t="str">
        <f>[1]!RegExpSubstitute(MID(H181,FIND("- ",H181)+2,FIND("- ",H181,FIND("- ",H181)+1)-FIND("- ",H181)-2),"\&amp;quot\;.*\&amp;quot\;\W","")</f>
        <v xml:space="preserve">Adam Krossman </v>
      </c>
      <c r="D181" t="str">
        <f>VLOOKUP(SUBSTITUTE(TRIM(MID(H181,FIND(",TPE:",H181)-3,3)),"- ",""),Index!E:F,2,FALSE)</f>
        <v>Runningback</v>
      </c>
      <c r="E181" t="str">
        <f t="shared" si="9"/>
        <v>S10</v>
      </c>
      <c r="F181" t="s">
        <v>250</v>
      </c>
      <c r="G181">
        <f t="shared" si="11"/>
        <v>76</v>
      </c>
      <c r="H181" t="s">
        <v>113</v>
      </c>
    </row>
    <row r="182" spans="1:8" x14ac:dyDescent="0.25">
      <c r="A182">
        <f t="shared" si="8"/>
        <v>1</v>
      </c>
      <c r="B182">
        <f t="shared" si="10"/>
        <v>9504</v>
      </c>
      <c r="C182" t="str">
        <f>[1]!RegExpSubstitute(MID(H182,FIND("- ",H182)+2,FIND("- ",H182,FIND("- ",H182)+1)-FIND("- ",H182)-2),"\&amp;quot\;.*\&amp;quot\;\W","")</f>
        <v xml:space="preserve">Ricky Flores </v>
      </c>
      <c r="D182" t="str">
        <f>VLOOKUP(SUBSTITUTE(TRIM(MID(H182,FIND(",TPE:",H182)-3,3)),"- ",""),Index!E:F,2,FALSE)</f>
        <v>Runningback</v>
      </c>
      <c r="E182" t="str">
        <f t="shared" si="9"/>
        <v>S10</v>
      </c>
      <c r="F182" t="s">
        <v>250</v>
      </c>
      <c r="G182">
        <f t="shared" si="11"/>
        <v>90</v>
      </c>
      <c r="H182" t="s">
        <v>114</v>
      </c>
    </row>
    <row r="183" spans="1:8" x14ac:dyDescent="0.25">
      <c r="A183">
        <f t="shared" si="8"/>
        <v>1</v>
      </c>
      <c r="B183">
        <f t="shared" si="10"/>
        <v>9364</v>
      </c>
      <c r="C183" t="str">
        <f>[1]!RegExpSubstitute(MID(H183,FIND("- ",H183)+2,FIND("- ",H183,FIND("- ",H183)+1)-FIND("- ",H183)-2),"\&amp;quot\;.*\&amp;quot\;\W","")</f>
        <v xml:space="preserve">Zenyou Wozy </v>
      </c>
      <c r="D183" t="str">
        <f>VLOOKUP(SUBSTITUTE(TRIM(MID(H183,FIND(",TPE:",H183)-3,3)),"- ",""),Index!E:F,2,FALSE)</f>
        <v>Quarterback</v>
      </c>
      <c r="E183" t="str">
        <f t="shared" si="9"/>
        <v>S10</v>
      </c>
      <c r="F183" t="s">
        <v>250</v>
      </c>
      <c r="G183">
        <f t="shared" si="11"/>
        <v>358</v>
      </c>
      <c r="H183" t="s">
        <v>115</v>
      </c>
    </row>
    <row r="184" spans="1:8" x14ac:dyDescent="0.25">
      <c r="A184">
        <f t="shared" si="8"/>
        <v>1</v>
      </c>
      <c r="B184">
        <f t="shared" si="10"/>
        <v>9325</v>
      </c>
      <c r="C184" t="str">
        <f>[1]!RegExpSubstitute(MID(H184,FIND("- ",H184)+2,FIND("- ",H184,FIND("- ",H184)+1)-FIND("- ",H184)-2),"\&amp;quot\;.*\&amp;quot\;\W","")</f>
        <v xml:space="preserve">Tanner Hendrix </v>
      </c>
      <c r="D184" t="str">
        <f>VLOOKUP(SUBSTITUTE(TRIM(MID(H184,FIND(",TPE:",H184)-3,3)),"- ",""),Index!E:F,2,FALSE)</f>
        <v>Wide Receiver</v>
      </c>
      <c r="E184" t="str">
        <f t="shared" si="9"/>
        <v>S10</v>
      </c>
      <c r="F184" t="s">
        <v>250</v>
      </c>
      <c r="G184">
        <f t="shared" si="11"/>
        <v>90</v>
      </c>
      <c r="H184" t="s">
        <v>64</v>
      </c>
    </row>
    <row r="185" spans="1:8" x14ac:dyDescent="0.25">
      <c r="A185">
        <f t="shared" si="8"/>
        <v>1</v>
      </c>
      <c r="B185">
        <f t="shared" si="10"/>
        <v>9321</v>
      </c>
      <c r="C185" t="str">
        <f>[1]!RegExpSubstitute(MID(H185,FIND("- ",H185)+2,FIND("- ",H185,FIND("- ",H185)+1)-FIND("- ",H185)-2),"\&amp;quot\;.*\&amp;quot\;\W","")</f>
        <v xml:space="preserve">Taylor Peterson </v>
      </c>
      <c r="D185" t="str">
        <f>VLOOKUP(SUBSTITUTE(TRIM(MID(H185,FIND(",TPE:",H185)-3,3)),"- ",""),Index!E:F,2,FALSE)</f>
        <v>Wide Receiver</v>
      </c>
      <c r="E185" t="str">
        <f t="shared" si="9"/>
        <v>S10</v>
      </c>
      <c r="F185" t="s">
        <v>250</v>
      </c>
      <c r="G185">
        <f t="shared" si="11"/>
        <v>108</v>
      </c>
      <c r="H185" t="s">
        <v>116</v>
      </c>
    </row>
    <row r="186" spans="1:8" x14ac:dyDescent="0.25">
      <c r="A186">
        <f t="shared" si="8"/>
        <v>1</v>
      </c>
      <c r="B186">
        <f t="shared" si="10"/>
        <v>9228</v>
      </c>
      <c r="C186" t="str">
        <f>[1]!RegExpSubstitute(MID(H186,FIND("- ",H186)+2,FIND("- ",H186,FIND("- ",H186)+1)-FIND("- ",H186)-2),"\&amp;quot\;.*\&amp;quot\;\W","")</f>
        <v xml:space="preserve">Con Nair </v>
      </c>
      <c r="D186" t="str">
        <f>VLOOKUP(SUBSTITUTE(TRIM(MID(H186,FIND(",TPE:",H186)-3,3)),"- ",""),Index!E:F,2,FALSE)</f>
        <v>Cornerback</v>
      </c>
      <c r="E186" t="str">
        <f t="shared" si="9"/>
        <v>S10</v>
      </c>
      <c r="F186" t="s">
        <v>250</v>
      </c>
      <c r="G186">
        <f t="shared" si="11"/>
        <v>50</v>
      </c>
      <c r="H186" t="s">
        <v>65</v>
      </c>
    </row>
    <row r="187" spans="1:8" x14ac:dyDescent="0.25">
      <c r="A187">
        <f t="shared" si="8"/>
        <v>1</v>
      </c>
      <c r="B187">
        <f t="shared" si="10"/>
        <v>9132</v>
      </c>
      <c r="C187" t="str">
        <f>[1]!RegExpSubstitute(MID(H187,FIND("- ",H187)+2,FIND("- ",H187,FIND("- ",H187)+1)-FIND("- ",H187)-2),"\&amp;quot\;.*\&amp;quot\;\W","")</f>
        <v xml:space="preserve">Deion Jackson </v>
      </c>
      <c r="D187" t="str">
        <f>VLOOKUP(SUBSTITUTE(TRIM(MID(H187,FIND(",TPE:",H187)-3,3)),"- ",""),Index!E:F,2,FALSE)</f>
        <v>Wide Receiver</v>
      </c>
      <c r="E187" t="str">
        <f t="shared" si="9"/>
        <v>S9</v>
      </c>
      <c r="F187" t="s">
        <v>250</v>
      </c>
      <c r="G187">
        <f t="shared" si="11"/>
        <v>57</v>
      </c>
      <c r="H187" t="s">
        <v>117</v>
      </c>
    </row>
    <row r="188" spans="1:8" x14ac:dyDescent="0.25">
      <c r="A188">
        <f t="shared" si="8"/>
        <v>1</v>
      </c>
      <c r="B188">
        <f t="shared" si="10"/>
        <v>9110</v>
      </c>
      <c r="C188" t="str">
        <f>[1]!RegExpSubstitute(MID(H188,FIND("- ",H188)+2,FIND("- ",H188,FIND("- ",H188)+1)-FIND("- ",H188)-2),"\&amp;quot\;.*\&amp;quot\;\W","")</f>
        <v xml:space="preserve">Fin Jameson </v>
      </c>
      <c r="D188" t="str">
        <f>VLOOKUP(SUBSTITUTE(TRIM(MID(H188,FIND(",TPE:",H188)-3,3)),"- ",""),Index!E:F,2,FALSE)</f>
        <v>Linebacker</v>
      </c>
      <c r="E188" t="str">
        <f t="shared" si="9"/>
        <v>S9</v>
      </c>
      <c r="F188" t="s">
        <v>250</v>
      </c>
      <c r="G188">
        <f t="shared" si="11"/>
        <v>57</v>
      </c>
      <c r="H188" t="s">
        <v>118</v>
      </c>
    </row>
    <row r="189" spans="1:8" x14ac:dyDescent="0.25">
      <c r="A189">
        <f t="shared" si="8"/>
        <v>1</v>
      </c>
      <c r="B189">
        <f t="shared" si="10"/>
        <v>9076</v>
      </c>
      <c r="C189" t="str">
        <f>[1]!RegExpSubstitute(MID(H189,FIND("- ",H189)+2,FIND("- ",H189,FIND("- ",H189)+1)-FIND("- ",H189)-2),"\&amp;quot\;.*\&amp;quot\;\W","")</f>
        <v xml:space="preserve">Andreas Metaxas </v>
      </c>
      <c r="D189" t="str">
        <f>VLOOKUP(SUBSTITUTE(TRIM(MID(H189,FIND(",TPE:",H189)-3,3)),"- ",""),Index!E:F,2,FALSE)</f>
        <v>Quarterback</v>
      </c>
      <c r="E189" t="str">
        <f t="shared" si="9"/>
        <v>S9</v>
      </c>
      <c r="F189" t="s">
        <v>250</v>
      </c>
      <c r="G189">
        <f t="shared" si="11"/>
        <v>381</v>
      </c>
      <c r="H189" t="s">
        <v>119</v>
      </c>
    </row>
    <row r="190" spans="1:8" x14ac:dyDescent="0.25">
      <c r="A190">
        <f t="shared" si="8"/>
        <v>1</v>
      </c>
      <c r="B190">
        <f t="shared" si="10"/>
        <v>8859</v>
      </c>
      <c r="C190" t="str">
        <f>[1]!RegExpSubstitute(MID(H190,FIND("- ",H190)+2,FIND("- ",H190,FIND("- ",H190)+1)-FIND("- ",H190)-2),"\&amp;quot\;.*\&amp;quot\;\W","")</f>
        <v xml:space="preserve">Robert Jordan </v>
      </c>
      <c r="D190" t="str">
        <f>VLOOKUP(SUBSTITUTE(TRIM(MID(H190,FIND(",TPE:",H190)-3,3)),"- ",""),Index!E:F,2,FALSE)</f>
        <v>Linebacker</v>
      </c>
      <c r="E190" t="str">
        <f t="shared" si="9"/>
        <v>S9</v>
      </c>
      <c r="F190" t="s">
        <v>250</v>
      </c>
      <c r="G190">
        <f t="shared" si="11"/>
        <v>60</v>
      </c>
      <c r="H190" t="s">
        <v>120</v>
      </c>
    </row>
    <row r="191" spans="1:8" x14ac:dyDescent="0.25">
      <c r="A191">
        <f t="shared" si="8"/>
        <v>1</v>
      </c>
      <c r="B191">
        <f t="shared" si="10"/>
        <v>8857</v>
      </c>
      <c r="C191" t="str">
        <f>[1]!RegExpSubstitute(MID(H191,FIND("- ",H191)+2,FIND("- ",H191,FIND("- ",H191)+1)-FIND("- ",H191)-2),"\&amp;quot\;.*\&amp;quot\;\W","")</f>
        <v xml:space="preserve">LaMarcus Strike </v>
      </c>
      <c r="D191" t="str">
        <f>VLOOKUP(SUBSTITUTE(TRIM(MID(H191,FIND(",TPE:",H191)-3,3)),"- ",""),Index!E:F,2,FALSE)</f>
        <v>Runningback</v>
      </c>
      <c r="E191" t="str">
        <f t="shared" si="9"/>
        <v>S9</v>
      </c>
      <c r="F191" t="s">
        <v>250</v>
      </c>
      <c r="G191">
        <f t="shared" si="11"/>
        <v>169</v>
      </c>
      <c r="H191" t="s">
        <v>121</v>
      </c>
    </row>
    <row r="192" spans="1:8" x14ac:dyDescent="0.25">
      <c r="A192">
        <f t="shared" si="8"/>
        <v>1</v>
      </c>
      <c r="B192">
        <f t="shared" si="10"/>
        <v>8721</v>
      </c>
      <c r="C192" t="str">
        <f>[1]!RegExpSubstitute(MID(H192,FIND("- ",H192)+2,FIND("- ",H192,FIND("- ",H192)+1)-FIND("- ",H192)-2),"\&amp;quot\;.*\&amp;quot\;\W","")</f>
        <v xml:space="preserve">Ricardo Jones </v>
      </c>
      <c r="D192" t="str">
        <f>VLOOKUP(SUBSTITUTE(TRIM(MID(H192,FIND(",TPE:",H192)-3,3)),"- ",""),Index!E:F,2,FALSE)</f>
        <v>Wide Receiver</v>
      </c>
      <c r="E192" t="str">
        <f t="shared" si="9"/>
        <v>S9</v>
      </c>
      <c r="F192" t="s">
        <v>250</v>
      </c>
      <c r="G192">
        <f t="shared" si="11"/>
        <v>79</v>
      </c>
      <c r="H192" t="s">
        <v>188</v>
      </c>
    </row>
    <row r="193" spans="1:8" x14ac:dyDescent="0.25">
      <c r="A193">
        <f t="shared" si="8"/>
        <v>1</v>
      </c>
      <c r="B193">
        <f t="shared" si="10"/>
        <v>8693</v>
      </c>
      <c r="C193" t="str">
        <f>[1]!RegExpSubstitute(MID(H193,FIND("- ",H193)+2,FIND("- ",H193,FIND("- ",H193)+1)-FIND("- ",H193)-2),"\&amp;quot\;.*\&amp;quot\;\W","")</f>
        <v xml:space="preserve">Alsan Arshad </v>
      </c>
      <c r="D193" t="str">
        <f>VLOOKUP(SUBSTITUTE(TRIM(MID(H193,FIND(",TPE:",H193)-3,3)),"- ",""),Index!E:F,2,FALSE)</f>
        <v>Wide Receiver</v>
      </c>
      <c r="E193" t="str">
        <f t="shared" si="9"/>
        <v>S9</v>
      </c>
      <c r="F193" t="s">
        <v>250</v>
      </c>
      <c r="G193">
        <f t="shared" si="11"/>
        <v>71</v>
      </c>
      <c r="H193" t="s">
        <v>122</v>
      </c>
    </row>
    <row r="194" spans="1:8" x14ac:dyDescent="0.25">
      <c r="A194">
        <f t="shared" ref="A194:A257" si="12">COUNTIF($B$2:$B$375,B194)</f>
        <v>1</v>
      </c>
      <c r="B194">
        <f t="shared" si="10"/>
        <v>8634</v>
      </c>
      <c r="C194" t="str">
        <f>[1]!RegExpSubstitute(MID(H194,FIND("- ",H194)+2,FIND("- ",H194,FIND("- ",H194)+1)-FIND("- ",H194)-2),"\&amp;quot\;.*\&amp;quot\;\W","")</f>
        <v xml:space="preserve">Emilio Ramero </v>
      </c>
      <c r="D194" t="str">
        <f>VLOOKUP(SUBSTITUTE(TRIM(MID(H194,FIND(",TPE:",H194)-3,3)),"- ",""),Index!E:F,2,FALSE)</f>
        <v>Kicker</v>
      </c>
      <c r="E194" t="str">
        <f t="shared" ref="E194:E257" si="13">MID(H194,FIND("(",H194)+1,FIND(")",H194)-FIND("(",H194)-1)</f>
        <v>S9</v>
      </c>
      <c r="F194" t="s">
        <v>250</v>
      </c>
      <c r="G194">
        <f t="shared" si="11"/>
        <v>116</v>
      </c>
      <c r="H194" t="s">
        <v>123</v>
      </c>
    </row>
    <row r="195" spans="1:8" x14ac:dyDescent="0.25">
      <c r="A195">
        <f t="shared" si="12"/>
        <v>1</v>
      </c>
      <c r="B195">
        <f t="shared" ref="B195:B258" si="14">[1]!Numerize(MID(H195,FIND("=",H195),10))+0</f>
        <v>8613</v>
      </c>
      <c r="C195" t="str">
        <f>[1]!RegExpSubstitute(MID(H195,FIND("- ",H195)+2,FIND("- ",H195,FIND("- ",H195)+1)-FIND("- ",H195)-2),"\&amp;quot\;.*\&amp;quot\;\W","")</f>
        <v xml:space="preserve">Deangelo Warren </v>
      </c>
      <c r="D195" t="str">
        <f>VLOOKUP(SUBSTITUTE(TRIM(MID(H195,FIND(",TPE:",H195)-3,3)),"- ",""),Index!E:F,2,FALSE)</f>
        <v>Wide Receiver</v>
      </c>
      <c r="E195" t="str">
        <f t="shared" si="13"/>
        <v>S9</v>
      </c>
      <c r="F195" t="s">
        <v>250</v>
      </c>
      <c r="G195">
        <f t="shared" ref="G195:G258" si="15">MID(H195,FIND("TPE: ",H195)+5,FIND(", ",H195,FIND("TPE: ",H195))-FIND("TPE: ",H195)-5)+0</f>
        <v>50</v>
      </c>
      <c r="H195" t="s">
        <v>125</v>
      </c>
    </row>
    <row r="196" spans="1:8" x14ac:dyDescent="0.25">
      <c r="A196">
        <f t="shared" si="12"/>
        <v>1</v>
      </c>
      <c r="B196">
        <f t="shared" si="14"/>
        <v>8344</v>
      </c>
      <c r="C196" t="str">
        <f>[1]!RegExpSubstitute(MID(H196,FIND("- ",H196)+2,FIND("- ",H196,FIND("- ",H196)+1)-FIND("- ",H196)-2),"\&amp;quot\;.*\&amp;quot\;\W","")</f>
        <v xml:space="preserve">Klaus DerFisch </v>
      </c>
      <c r="D196" t="str">
        <f>VLOOKUP(SUBSTITUTE(TRIM(MID(H196,FIND(",TPE:",H196)-3,3)),"- ",""),Index!E:F,2,FALSE)</f>
        <v>Kicker</v>
      </c>
      <c r="E196" t="str">
        <f t="shared" si="13"/>
        <v>S8</v>
      </c>
      <c r="F196" t="s">
        <v>250</v>
      </c>
      <c r="G196">
        <f t="shared" si="15"/>
        <v>54</v>
      </c>
      <c r="H196" t="s">
        <v>126</v>
      </c>
    </row>
    <row r="197" spans="1:8" x14ac:dyDescent="0.25">
      <c r="A197">
        <f t="shared" si="12"/>
        <v>1</v>
      </c>
      <c r="B197">
        <f t="shared" si="14"/>
        <v>8297</v>
      </c>
      <c r="C197" t="str">
        <f>[1]!RegExpSubstitute(MID(H197,FIND("- ",H197)+2,FIND("- ",H197,FIND("- ",H197)+1)-FIND("- ",H197)-2),"\&amp;quot\;.*\&amp;quot\;\W","")</f>
        <v xml:space="preserve">Vance Sachs </v>
      </c>
      <c r="D197" t="str">
        <f>VLOOKUP(SUBSTITUTE(TRIM(MID(H197,FIND(",TPE:",H197)-3,3)),"- ",""),Index!E:F,2,FALSE)</f>
        <v>Defensive Line</v>
      </c>
      <c r="E197" t="str">
        <f t="shared" si="13"/>
        <v>S8</v>
      </c>
      <c r="F197" t="s">
        <v>250</v>
      </c>
      <c r="G197">
        <f t="shared" si="15"/>
        <v>81</v>
      </c>
      <c r="H197" t="s">
        <v>127</v>
      </c>
    </row>
    <row r="198" spans="1:8" x14ac:dyDescent="0.25">
      <c r="A198">
        <f t="shared" si="12"/>
        <v>1</v>
      </c>
      <c r="B198">
        <f t="shared" si="14"/>
        <v>8256</v>
      </c>
      <c r="C198" t="str">
        <f>[1]!RegExpSubstitute(MID(H198,FIND("- ",H198)+2,FIND("- ",H198,FIND("- ",H198)+1)-FIND("- ",H198)-2),"\&amp;quot\;.*\&amp;quot\;\W","")</f>
        <v xml:space="preserve">Seth Wallace </v>
      </c>
      <c r="D198" t="str">
        <f>VLOOKUP(SUBSTITUTE(TRIM(MID(H198,FIND(",TPE:",H198)-3,3)),"- ",""),Index!E:F,2,FALSE)</f>
        <v>Runningback</v>
      </c>
      <c r="E198" t="str">
        <f t="shared" si="13"/>
        <v>S8</v>
      </c>
      <c r="F198" t="s">
        <v>250</v>
      </c>
      <c r="G198">
        <f t="shared" si="15"/>
        <v>50</v>
      </c>
      <c r="H198" t="s">
        <v>128</v>
      </c>
    </row>
    <row r="199" spans="1:8" x14ac:dyDescent="0.25">
      <c r="A199">
        <f t="shared" si="12"/>
        <v>1</v>
      </c>
      <c r="B199">
        <f t="shared" si="14"/>
        <v>8249</v>
      </c>
      <c r="C199" t="str">
        <f>[1]!RegExpSubstitute(MID(H199,FIND("- ",H199)+2,FIND("- ",H199,FIND("- ",H199)+1)-FIND("- ",H199)-2),"\&amp;quot\;.*\&amp;quot\;\W","")</f>
        <v xml:space="preserve">Harry Balzac </v>
      </c>
      <c r="D199" t="str">
        <f>VLOOKUP(SUBSTITUTE(TRIM(MID(H199,FIND(",TPE:",H199)-3,3)),"- ",""),Index!E:F,2,FALSE)</f>
        <v>Safety</v>
      </c>
      <c r="E199" t="str">
        <f t="shared" si="13"/>
        <v>S8</v>
      </c>
      <c r="F199" t="s">
        <v>250</v>
      </c>
      <c r="G199">
        <f t="shared" si="15"/>
        <v>50</v>
      </c>
      <c r="H199" t="s">
        <v>129</v>
      </c>
    </row>
    <row r="200" spans="1:8" x14ac:dyDescent="0.25">
      <c r="A200">
        <f t="shared" si="12"/>
        <v>1</v>
      </c>
      <c r="B200">
        <f t="shared" si="14"/>
        <v>8231</v>
      </c>
      <c r="C200" t="str">
        <f>[1]!RegExpSubstitute(MID(H200,FIND("- ",H200)+2,FIND("- ",H200,FIND("- ",H200)+1)-FIND("- ",H200)-2),"\&amp;quot\;.*\&amp;quot\;\W","")</f>
        <v xml:space="preserve">D.J. Riddick </v>
      </c>
      <c r="D200" t="str">
        <f>VLOOKUP(SUBSTITUTE(TRIM(MID(H200,FIND(",TPE:",H200)-3,3)),"- ",""),Index!E:F,2,FALSE)</f>
        <v>Runningback</v>
      </c>
      <c r="E200" t="str">
        <f t="shared" si="13"/>
        <v>S8</v>
      </c>
      <c r="F200" t="s">
        <v>250</v>
      </c>
      <c r="G200">
        <f t="shared" si="15"/>
        <v>124</v>
      </c>
      <c r="H200" t="s">
        <v>130</v>
      </c>
    </row>
    <row r="201" spans="1:8" x14ac:dyDescent="0.25">
      <c r="A201">
        <f t="shared" si="12"/>
        <v>1</v>
      </c>
      <c r="B201">
        <f t="shared" si="14"/>
        <v>8151</v>
      </c>
      <c r="C201" t="str">
        <f>[1]!RegExpSubstitute(MID(H201,FIND("- ",H201)+2,FIND("- ",H201,FIND("- ",H201)+1)-FIND("- ",H201)-2),"\&amp;quot\;.*\&amp;quot\;\W","")</f>
        <v xml:space="preserve">Justin Davis </v>
      </c>
      <c r="D201" t="str">
        <f>VLOOKUP(SUBSTITUTE(TRIM(MID(H201,FIND(",TPE:",H201)-3,3)),"- ",""),Index!E:F,2,FALSE)</f>
        <v>Kicker</v>
      </c>
      <c r="E201" t="str">
        <f t="shared" si="13"/>
        <v>S8</v>
      </c>
      <c r="F201" t="s">
        <v>250</v>
      </c>
      <c r="G201">
        <f t="shared" si="15"/>
        <v>55</v>
      </c>
      <c r="H201" t="s">
        <v>131</v>
      </c>
    </row>
    <row r="202" spans="1:8" x14ac:dyDescent="0.25">
      <c r="A202">
        <f t="shared" si="12"/>
        <v>1</v>
      </c>
      <c r="B202">
        <f t="shared" si="14"/>
        <v>12675</v>
      </c>
      <c r="C202" t="str">
        <f>[1]!RegExpSubstitute(MID(H202,FIND("- ",H202)+2,FIND("- ",H202,FIND("- ",H202)+1)-FIND("- ",H202)-2),"\&amp;quot\;.*\&amp;quot\;\W","")</f>
        <v xml:space="preserve">Jay Quick </v>
      </c>
      <c r="D202" t="str">
        <f>VLOOKUP(SUBSTITUTE(TRIM(MID(H202,FIND(",TPE:",H202)-3,3)),"- ",""),Index!E:F,2,FALSE)</f>
        <v>Runningback</v>
      </c>
      <c r="E202" t="str">
        <f t="shared" si="13"/>
        <v>S15</v>
      </c>
      <c r="F202" t="s">
        <v>251</v>
      </c>
      <c r="G202">
        <f t="shared" si="15"/>
        <v>75</v>
      </c>
      <c r="H202" t="s">
        <v>346</v>
      </c>
    </row>
    <row r="203" spans="1:8" x14ac:dyDescent="0.25">
      <c r="A203">
        <f t="shared" si="12"/>
        <v>1</v>
      </c>
      <c r="B203">
        <f t="shared" si="14"/>
        <v>12518</v>
      </c>
      <c r="C203" t="str">
        <f>[1]!RegExpSubstitute(MID(H203,FIND("- ",H203)+2,FIND("- ",H203,FIND("- ",H203)+1)-FIND("- ",H203)-2),"\&amp;quot\;.*\&amp;quot\;\W","")</f>
        <v xml:space="preserve">Frasier Crane </v>
      </c>
      <c r="D203" t="str">
        <f>VLOOKUP(SUBSTITUTE(TRIM(MID(H203,FIND(",TPE:",H203)-3,3)),"- ",""),Index!E:F,2,FALSE)</f>
        <v>Defensive Line</v>
      </c>
      <c r="E203" t="str">
        <f t="shared" si="13"/>
        <v>S15</v>
      </c>
      <c r="F203" t="s">
        <v>251</v>
      </c>
      <c r="G203">
        <f t="shared" si="15"/>
        <v>106</v>
      </c>
      <c r="H203" t="s">
        <v>210</v>
      </c>
    </row>
    <row r="204" spans="1:8" x14ac:dyDescent="0.25">
      <c r="A204">
        <f t="shared" si="12"/>
        <v>1</v>
      </c>
      <c r="B204">
        <f t="shared" si="14"/>
        <v>12471</v>
      </c>
      <c r="C204" t="str">
        <f>[1]!RegExpSubstitute(MID(H204,FIND("- ",H204)+2,FIND("- ",H204,FIND("- ",H204)+1)-FIND("- ",H204)-2),"\&amp;quot\;.*\&amp;quot\;\W","")</f>
        <v xml:space="preserve">Cedric Parker </v>
      </c>
      <c r="D204" t="str">
        <f>VLOOKUP(SUBSTITUTE(TRIM(MID(H204,FIND(",TPE:",H204)-3,3)),"- ",""),Index!E:F,2,FALSE)</f>
        <v>Wide Receiver</v>
      </c>
      <c r="E204" t="str">
        <f t="shared" si="13"/>
        <v>S15</v>
      </c>
      <c r="F204" t="s">
        <v>251</v>
      </c>
      <c r="G204">
        <f t="shared" si="15"/>
        <v>66</v>
      </c>
      <c r="H204" t="s">
        <v>211</v>
      </c>
    </row>
    <row r="205" spans="1:8" x14ac:dyDescent="0.25">
      <c r="A205">
        <f t="shared" si="12"/>
        <v>1</v>
      </c>
      <c r="B205">
        <f t="shared" si="14"/>
        <v>12348</v>
      </c>
      <c r="C205" t="str">
        <f>[1]!RegExpSubstitute(MID(H205,FIND("- ",H205)+2,FIND("- ",H205,FIND("- ",H205)+1)-FIND("- ",H205)-2),"\&amp;quot\;.*\&amp;quot\;\W","")</f>
        <v xml:space="preserve">Farley Hank </v>
      </c>
      <c r="D205" t="str">
        <f>VLOOKUP(SUBSTITUTE(TRIM(MID(H205,FIND(",TPE:",H205)-3,3)),"- ",""),Index!E:F,2,FALSE)</f>
        <v>Runningback</v>
      </c>
      <c r="E205" t="str">
        <f t="shared" si="13"/>
        <v>S15</v>
      </c>
      <c r="F205" t="s">
        <v>251</v>
      </c>
      <c r="G205">
        <f t="shared" si="15"/>
        <v>82</v>
      </c>
      <c r="H205" t="s">
        <v>212</v>
      </c>
    </row>
    <row r="206" spans="1:8" x14ac:dyDescent="0.25">
      <c r="A206">
        <f t="shared" si="12"/>
        <v>1</v>
      </c>
      <c r="B206">
        <f t="shared" si="14"/>
        <v>12223</v>
      </c>
      <c r="C206" t="str">
        <f>[1]!RegExpSubstitute(MID(H206,FIND("- ",H206)+2,FIND("- ",H206,FIND("- ",H206)+1)-FIND("- ",H206)-2),"\&amp;quot\;.*\&amp;quot\;\W","")</f>
        <v xml:space="preserve">Ronald St. James III </v>
      </c>
      <c r="D206" t="str">
        <f>VLOOKUP(SUBSTITUTE(TRIM(MID(H206,FIND(",TPE:",H206)-3,3)),"- ",""),Index!E:F,2,FALSE)</f>
        <v>Runningback</v>
      </c>
      <c r="E206" t="str">
        <f t="shared" si="13"/>
        <v>S15</v>
      </c>
      <c r="F206" t="s">
        <v>251</v>
      </c>
      <c r="G206">
        <f t="shared" si="15"/>
        <v>50</v>
      </c>
      <c r="H206" t="s">
        <v>2</v>
      </c>
    </row>
    <row r="207" spans="1:8" x14ac:dyDescent="0.25">
      <c r="A207">
        <f t="shared" si="12"/>
        <v>1</v>
      </c>
      <c r="B207">
        <f t="shared" si="14"/>
        <v>12328</v>
      </c>
      <c r="C207" t="str">
        <f>[1]!RegExpSubstitute(MID(H207,FIND("- ",H207)+2,FIND("- ",H207,FIND("- ",H207)+1)-FIND("- ",H207)-2),"\&amp;quot\;.*\&amp;quot\;\W","")</f>
        <v xml:space="preserve">Cameron Olsen </v>
      </c>
      <c r="D207" t="str">
        <f>VLOOKUP(SUBSTITUTE(TRIM(MID(H207,FIND(",TPE:",H207)-3,3)),"- ",""),Index!E:F,2,FALSE)</f>
        <v>Tight End</v>
      </c>
      <c r="E207" t="str">
        <f t="shared" si="13"/>
        <v>S15</v>
      </c>
      <c r="F207" t="s">
        <v>251</v>
      </c>
      <c r="G207">
        <f t="shared" si="15"/>
        <v>155</v>
      </c>
      <c r="H207" t="s">
        <v>347</v>
      </c>
    </row>
    <row r="208" spans="1:8" x14ac:dyDescent="0.25">
      <c r="A208">
        <f t="shared" si="12"/>
        <v>1</v>
      </c>
      <c r="B208">
        <f t="shared" si="14"/>
        <v>12311</v>
      </c>
      <c r="C208" t="str">
        <f>[1]!RegExpSubstitute(MID(H208,FIND("- ",H208)+2,FIND("- ",H208,FIND("- ",H208)+1)-FIND("- ",H208)-2),"\&amp;quot\;.*\&amp;quot\;\W","")</f>
        <v xml:space="preserve">Mick Moekr </v>
      </c>
      <c r="D208" t="str">
        <f>VLOOKUP(SUBSTITUTE(TRIM(MID(H208,FIND(",TPE:",H208)-3,3)),"- ",""),Index!E:F,2,FALSE)</f>
        <v>Defensive Line</v>
      </c>
      <c r="E208" t="str">
        <f t="shared" si="13"/>
        <v>S15</v>
      </c>
      <c r="F208" t="s">
        <v>251</v>
      </c>
      <c r="G208">
        <f t="shared" si="15"/>
        <v>50</v>
      </c>
      <c r="H208" t="s">
        <v>4</v>
      </c>
    </row>
    <row r="209" spans="1:8" x14ac:dyDescent="0.25">
      <c r="A209">
        <f t="shared" si="12"/>
        <v>1</v>
      </c>
      <c r="B209">
        <f t="shared" si="14"/>
        <v>12232</v>
      </c>
      <c r="C209" t="str">
        <f>[1]!RegExpSubstitute(MID(H209,FIND("- ",H209)+2,FIND("- ",H209,FIND("- ",H209)+1)-FIND("- ",H209)-2),"\&amp;quot\;.*\&amp;quot\;\W","")</f>
        <v xml:space="preserve">Terry Taffy </v>
      </c>
      <c r="D209" t="str">
        <f>VLOOKUP(SUBSTITUTE(TRIM(MID(H209,FIND(",TPE:",H209)-3,3)),"- ",""),Index!E:F,2,FALSE)</f>
        <v>Runningback</v>
      </c>
      <c r="E209" t="str">
        <f t="shared" si="13"/>
        <v>S15</v>
      </c>
      <c r="F209" t="s">
        <v>251</v>
      </c>
      <c r="G209">
        <f t="shared" si="15"/>
        <v>158</v>
      </c>
      <c r="H209" t="s">
        <v>348</v>
      </c>
    </row>
    <row r="210" spans="1:8" x14ac:dyDescent="0.25">
      <c r="A210">
        <f t="shared" si="12"/>
        <v>1</v>
      </c>
      <c r="B210">
        <f t="shared" si="14"/>
        <v>12221</v>
      </c>
      <c r="C210" t="str">
        <f>[1]!RegExpSubstitute(MID(H210,FIND("- ",H210)+2,FIND("- ",H210,FIND("- ",H210)+1)-FIND("- ",H210)-2),"\&amp;quot\;.*\&amp;quot\;\W","")</f>
        <v xml:space="preserve">Ryan Leaf Jr </v>
      </c>
      <c r="D210" t="str">
        <f>VLOOKUP(SUBSTITUTE(TRIM(MID(H210,FIND(",TPE:",H210)-3,3)),"- ",""),Index!E:F,2,FALSE)</f>
        <v>Quarterback</v>
      </c>
      <c r="E210" t="str">
        <f t="shared" si="13"/>
        <v>S15</v>
      </c>
      <c r="F210" t="s">
        <v>251</v>
      </c>
      <c r="G210">
        <f t="shared" si="15"/>
        <v>69</v>
      </c>
      <c r="H210" t="s">
        <v>213</v>
      </c>
    </row>
    <row r="211" spans="1:8" x14ac:dyDescent="0.25">
      <c r="A211">
        <f t="shared" si="12"/>
        <v>1</v>
      </c>
      <c r="B211">
        <f t="shared" si="14"/>
        <v>12218</v>
      </c>
      <c r="C211" t="str">
        <f>[1]!RegExpSubstitute(MID(H211,FIND("- ",H211)+2,FIND("- ",H211,FIND("- ",H211)+1)-FIND("- ",H211)-2),"\&amp;quot\;.*\&amp;quot\;\W","")</f>
        <v xml:space="preserve">Andrew Solomon </v>
      </c>
      <c r="D211" t="str">
        <f>VLOOKUP(SUBSTITUTE(TRIM(MID(H211,FIND(",TPE:",H211)-3,3)),"- ",""),Index!E:F,2,FALSE)</f>
        <v>Cornerback</v>
      </c>
      <c r="E211" t="str">
        <f t="shared" si="13"/>
        <v>S15</v>
      </c>
      <c r="F211" t="s">
        <v>251</v>
      </c>
      <c r="G211">
        <f t="shared" si="15"/>
        <v>52</v>
      </c>
      <c r="H211" t="s">
        <v>214</v>
      </c>
    </row>
    <row r="212" spans="1:8" x14ac:dyDescent="0.25">
      <c r="A212">
        <f t="shared" si="12"/>
        <v>1</v>
      </c>
      <c r="B212">
        <f t="shared" si="14"/>
        <v>12206</v>
      </c>
      <c r="C212" t="str">
        <f>[1]!RegExpSubstitute(MID(H212,FIND("- ",H212)+2,FIND("- ",H212,FIND("- ",H212)+1)-FIND("- ",H212)-2),"\&amp;quot\;.*\&amp;quot\;\W","")</f>
        <v xml:space="preserve">Buddha Lebowski </v>
      </c>
      <c r="D212" t="str">
        <f>VLOOKUP(SUBSTITUTE(TRIM(MID(H212,FIND(",TPE:",H212)-3,3)),"- ",""),Index!E:F,2,FALSE)</f>
        <v>Linebacker</v>
      </c>
      <c r="E212" t="str">
        <f t="shared" si="13"/>
        <v>S15</v>
      </c>
      <c r="F212" t="s">
        <v>251</v>
      </c>
      <c r="G212">
        <f t="shared" si="15"/>
        <v>50</v>
      </c>
      <c r="H212" t="s">
        <v>5</v>
      </c>
    </row>
    <row r="213" spans="1:8" x14ac:dyDescent="0.25">
      <c r="A213">
        <f t="shared" si="12"/>
        <v>1</v>
      </c>
      <c r="B213">
        <f t="shared" si="14"/>
        <v>12091</v>
      </c>
      <c r="C213" t="str">
        <f>[1]!RegExpSubstitute(MID(H213,FIND("- ",H213)+2,FIND("- ",H213,FIND("- ",H213)+1)-FIND("- ",H213)-2),"\&amp;quot\;.*\&amp;quot\;\W","")</f>
        <v xml:space="preserve">Christopher Loren </v>
      </c>
      <c r="D213" t="str">
        <f>VLOOKUP(SUBSTITUTE(TRIM(MID(H213,FIND(",TPE:",H213)-3,3)),"- ",""),Index!E:F,2,FALSE)</f>
        <v>Cornerback</v>
      </c>
      <c r="E213" t="str">
        <f t="shared" si="13"/>
        <v>S15</v>
      </c>
      <c r="F213" t="s">
        <v>251</v>
      </c>
      <c r="G213">
        <f t="shared" si="15"/>
        <v>50</v>
      </c>
      <c r="H213" t="s">
        <v>6</v>
      </c>
    </row>
    <row r="214" spans="1:8" x14ac:dyDescent="0.25">
      <c r="A214">
        <f t="shared" si="12"/>
        <v>1</v>
      </c>
      <c r="B214">
        <f t="shared" si="14"/>
        <v>12009</v>
      </c>
      <c r="C214" t="str">
        <f>[1]!RegExpSubstitute(MID(H214,FIND("- ",H214)+2,FIND("- ",H214,FIND("- ",H214)+1)-FIND("- ",H214)-2),"\&amp;quot\;.*\&amp;quot\;\W","")</f>
        <v xml:space="preserve">Paul DiMirio III </v>
      </c>
      <c r="D214" t="str">
        <f>VLOOKUP(SUBSTITUTE(TRIM(MID(H214,FIND(",TPE:",H214)-3,3)),"- ",""),Index!E:F,2,FALSE)</f>
        <v>Kicker</v>
      </c>
      <c r="E214" t="str">
        <f t="shared" si="13"/>
        <v>S15</v>
      </c>
      <c r="F214" t="s">
        <v>251</v>
      </c>
      <c r="G214">
        <f t="shared" si="15"/>
        <v>50</v>
      </c>
      <c r="H214" t="s">
        <v>1</v>
      </c>
    </row>
    <row r="215" spans="1:8" x14ac:dyDescent="0.25">
      <c r="A215">
        <f t="shared" si="12"/>
        <v>1</v>
      </c>
      <c r="B215">
        <f t="shared" si="14"/>
        <v>11990</v>
      </c>
      <c r="C215" t="str">
        <f>[1]!RegExpSubstitute(MID(H215,FIND("- ",H215)+2,FIND("- ",H215,FIND("- ",H215)+1)-FIND("- ",H215)-2),"\&amp;quot\;.*\&amp;quot\;\W","")</f>
        <v xml:space="preserve">Brayden Larosee </v>
      </c>
      <c r="D215" t="str">
        <f>VLOOKUP(SUBSTITUTE(TRIM(MID(H215,FIND(",TPE:",H215)-3,3)),"- ",""),Index!E:F,2,FALSE)</f>
        <v>Safety</v>
      </c>
      <c r="E215" t="str">
        <f t="shared" si="13"/>
        <v>S15</v>
      </c>
      <c r="F215" t="s">
        <v>251</v>
      </c>
      <c r="G215">
        <f t="shared" si="15"/>
        <v>50</v>
      </c>
      <c r="H215" t="s">
        <v>7</v>
      </c>
    </row>
    <row r="216" spans="1:8" x14ac:dyDescent="0.25">
      <c r="A216">
        <f t="shared" si="12"/>
        <v>1</v>
      </c>
      <c r="B216">
        <f t="shared" si="14"/>
        <v>11768</v>
      </c>
      <c r="C216" t="str">
        <f>[1]!RegExpSubstitute(MID(H216,FIND("- ",H216)+2,FIND("- ",H216,FIND("- ",H216)+1)-FIND("- ",H216)-2),"\&amp;quot\;.*\&amp;quot\;\W","")</f>
        <v xml:space="preserve">Cody Kupp </v>
      </c>
      <c r="D216" t="str">
        <f>VLOOKUP(SUBSTITUTE(TRIM(MID(H216,FIND(",TPE:",H216)-3,3)),"- ",""),Index!E:F,2,FALSE)</f>
        <v>Safety</v>
      </c>
      <c r="E216" t="str">
        <f t="shared" si="13"/>
        <v>S14</v>
      </c>
      <c r="F216" t="s">
        <v>251</v>
      </c>
      <c r="G216">
        <f t="shared" si="15"/>
        <v>57</v>
      </c>
      <c r="H216" t="s">
        <v>8</v>
      </c>
    </row>
    <row r="217" spans="1:8" x14ac:dyDescent="0.25">
      <c r="A217">
        <f t="shared" si="12"/>
        <v>1</v>
      </c>
      <c r="B217">
        <f t="shared" si="14"/>
        <v>11742</v>
      </c>
      <c r="C217" t="str">
        <f>[1]!RegExpSubstitute(MID(H217,FIND("- ",H217)+2,FIND("- ",H217,FIND("- ",H217)+1)-FIND("- ",H217)-2),"\&amp;quot\;.*\&amp;quot\;\W","")</f>
        <v xml:space="preserve">Cam Poole </v>
      </c>
      <c r="D217" t="str">
        <f>VLOOKUP(SUBSTITUTE(TRIM(MID(H217,FIND(",TPE:",H217)-3,3)),"- ",""),Index!E:F,2,FALSE)</f>
        <v>Safety</v>
      </c>
      <c r="E217" t="str">
        <f t="shared" si="13"/>
        <v>S14</v>
      </c>
      <c r="F217" t="s">
        <v>251</v>
      </c>
      <c r="G217">
        <f t="shared" si="15"/>
        <v>57</v>
      </c>
      <c r="H217" t="s">
        <v>9</v>
      </c>
    </row>
    <row r="218" spans="1:8" x14ac:dyDescent="0.25">
      <c r="A218">
        <f t="shared" si="12"/>
        <v>1</v>
      </c>
      <c r="B218">
        <f t="shared" si="14"/>
        <v>11678</v>
      </c>
      <c r="C218" t="str">
        <f>[1]!RegExpSubstitute(MID(H218,FIND("- ",H218)+2,FIND("- ",H218,FIND("- ",H218)+1)-FIND("- ",H218)-2),"\&amp;quot\;.*\&amp;quot\;\W","")</f>
        <v xml:space="preserve">Rose Jenkins </v>
      </c>
      <c r="D218" t="str">
        <f>VLOOKUP(SUBSTITUTE(TRIM(MID(H218,FIND(",TPE:",H218)-3,3)),"- ",""),Index!E:F,2,FALSE)</f>
        <v>Quarterback</v>
      </c>
      <c r="E218" t="str">
        <f t="shared" si="13"/>
        <v>S14</v>
      </c>
      <c r="F218" t="s">
        <v>251</v>
      </c>
      <c r="G218">
        <f t="shared" si="15"/>
        <v>309</v>
      </c>
      <c r="H218" t="s">
        <v>349</v>
      </c>
    </row>
    <row r="219" spans="1:8" x14ac:dyDescent="0.25">
      <c r="A219">
        <f t="shared" si="12"/>
        <v>1</v>
      </c>
      <c r="B219">
        <f t="shared" si="14"/>
        <v>11604</v>
      </c>
      <c r="C219" t="str">
        <f>[1]!RegExpSubstitute(MID(H219,FIND("- ",H219)+2,FIND("- ",H219,FIND("- ",H219)+1)-FIND("- ",H219)-2),"\&amp;quot\;.*\&amp;quot\;\W","")</f>
        <v xml:space="preserve">Žak Korošec </v>
      </c>
      <c r="D219" t="str">
        <f>VLOOKUP(SUBSTITUTE(TRIM(MID(H219,FIND(",TPE:",H219)-3,3)),"- ",""),Index!E:F,2,FALSE)</f>
        <v>Kicker</v>
      </c>
      <c r="E219" t="str">
        <f t="shared" si="13"/>
        <v>S14</v>
      </c>
      <c r="F219" t="s">
        <v>251</v>
      </c>
      <c r="G219">
        <f t="shared" si="15"/>
        <v>50</v>
      </c>
      <c r="H219" t="s">
        <v>10</v>
      </c>
    </row>
    <row r="220" spans="1:8" x14ac:dyDescent="0.25">
      <c r="A220">
        <f t="shared" si="12"/>
        <v>1</v>
      </c>
      <c r="B220">
        <f t="shared" si="14"/>
        <v>11580</v>
      </c>
      <c r="C220" t="str">
        <f>[1]!RegExpSubstitute(MID(H220,FIND("- ",H220)+2,FIND("- ",H220,FIND("- ",H220)+1)-FIND("- ",H220)-2),"\&amp;quot\;.*\&amp;quot\;\W","")</f>
        <v xml:space="preserve">Alfredo Crisco </v>
      </c>
      <c r="D220" t="str">
        <f>VLOOKUP(SUBSTITUTE(TRIM(MID(H220,FIND(",TPE:",H220)-3,3)),"- ",""),Index!E:F,2,FALSE)</f>
        <v>Kicker</v>
      </c>
      <c r="E220" t="str">
        <f t="shared" si="13"/>
        <v>S14</v>
      </c>
      <c r="F220" t="s">
        <v>251</v>
      </c>
      <c r="G220">
        <f t="shared" si="15"/>
        <v>148</v>
      </c>
      <c r="H220" t="s">
        <v>350</v>
      </c>
    </row>
    <row r="221" spans="1:8" x14ac:dyDescent="0.25">
      <c r="A221">
        <f t="shared" si="12"/>
        <v>1</v>
      </c>
      <c r="B221">
        <f t="shared" si="14"/>
        <v>11444</v>
      </c>
      <c r="C221" t="str">
        <f>[1]!RegExpSubstitute(MID(H221,FIND("- ",H221)+2,FIND("- ",H221,FIND("- ",H221)+1)-FIND("- ",H221)-2),"\&amp;quot\;.*\&amp;quot\;\W","")</f>
        <v xml:space="preserve">Rembrandt Khalil-Bugatti </v>
      </c>
      <c r="D221" t="str">
        <f>VLOOKUP(SUBSTITUTE(TRIM(MID(H221,FIND(",TPE:",H221)-3,3)),"- ",""),Index!E:F,2,FALSE)</f>
        <v>Defensive Line</v>
      </c>
      <c r="E221" t="str">
        <f t="shared" si="13"/>
        <v>S13</v>
      </c>
      <c r="F221" t="s">
        <v>251</v>
      </c>
      <c r="G221">
        <f t="shared" si="15"/>
        <v>63</v>
      </c>
      <c r="H221" t="s">
        <v>11</v>
      </c>
    </row>
    <row r="222" spans="1:8" x14ac:dyDescent="0.25">
      <c r="A222">
        <f t="shared" si="12"/>
        <v>1</v>
      </c>
      <c r="B222">
        <f t="shared" si="14"/>
        <v>11406</v>
      </c>
      <c r="C222" t="str">
        <f>[1]!RegExpSubstitute(MID(H222,FIND("- ",H222)+2,FIND("- ",H222,FIND("- ",H222)+1)-FIND("- ",H222)-2),"\&amp;quot\;.*\&amp;quot\;\W","")</f>
        <v xml:space="preserve">J.N. Nova </v>
      </c>
      <c r="D222" t="str">
        <f>VLOOKUP(SUBSTITUTE(TRIM(MID(H222,FIND(",TPE:",H222)-3,3)),"- ",""),Index!E:F,2,FALSE)</f>
        <v>Wide Receiver</v>
      </c>
      <c r="E222" t="str">
        <f t="shared" si="13"/>
        <v>S13</v>
      </c>
      <c r="F222" t="s">
        <v>251</v>
      </c>
      <c r="G222">
        <f t="shared" si="15"/>
        <v>108</v>
      </c>
      <c r="H222" t="s">
        <v>12</v>
      </c>
    </row>
    <row r="223" spans="1:8" x14ac:dyDescent="0.25">
      <c r="A223">
        <f t="shared" si="12"/>
        <v>1</v>
      </c>
      <c r="B223">
        <f t="shared" si="14"/>
        <v>10911</v>
      </c>
      <c r="C223" t="str">
        <f>[1]!RegExpSubstitute(MID(H223,FIND("- ",H223)+2,FIND("- ",H223,FIND("- ",H223)+1)-FIND("- ",H223)-2),"\&amp;quot\;.*\&amp;quot\;\W","")</f>
        <v xml:space="preserve">James Wade </v>
      </c>
      <c r="D223" t="str">
        <f>VLOOKUP(SUBSTITUTE(TRIM(MID(H223,FIND(",TPE:",H223)-3,3)),"- ",""),Index!E:F,2,FALSE)</f>
        <v>Runningback</v>
      </c>
      <c r="E223" t="str">
        <f t="shared" si="13"/>
        <v>S12</v>
      </c>
      <c r="F223" t="s">
        <v>251</v>
      </c>
      <c r="G223">
        <f t="shared" si="15"/>
        <v>57</v>
      </c>
      <c r="H223" t="s">
        <v>14</v>
      </c>
    </row>
    <row r="224" spans="1:8" x14ac:dyDescent="0.25">
      <c r="A224">
        <f t="shared" si="12"/>
        <v>1</v>
      </c>
      <c r="B224">
        <f t="shared" si="14"/>
        <v>10449</v>
      </c>
      <c r="C224" t="str">
        <f>[1]!RegExpSubstitute(MID(H224,FIND("- ",H224)+2,FIND("- ",H224,FIND("- ",H224)+1)-FIND("- ",H224)-2),"\&amp;quot\;.*\&amp;quot\;\W","")</f>
        <v xml:space="preserve">Derek Bohne </v>
      </c>
      <c r="D224" t="str">
        <f>VLOOKUP(SUBSTITUTE(TRIM(MID(H224,FIND(",TPE:",H224)-3,3)),"- ",""),Index!E:F,2,FALSE)</f>
        <v>Safety</v>
      </c>
      <c r="E224" t="str">
        <f t="shared" si="13"/>
        <v>S12</v>
      </c>
      <c r="F224" t="s">
        <v>251</v>
      </c>
      <c r="G224">
        <f t="shared" si="15"/>
        <v>187</v>
      </c>
      <c r="H224" t="s">
        <v>15</v>
      </c>
    </row>
    <row r="225" spans="1:8" x14ac:dyDescent="0.25">
      <c r="A225">
        <f t="shared" si="12"/>
        <v>1</v>
      </c>
      <c r="B225">
        <f t="shared" si="14"/>
        <v>10446</v>
      </c>
      <c r="C225" t="str">
        <f>[1]!RegExpSubstitute(MID(H225,FIND("- ",H225)+2,FIND("- ",H225,FIND("- ",H225)+1)-FIND("- ",H225)-2),"\&amp;quot\;.*\&amp;quot\;\W","")</f>
        <v xml:space="preserve">Ace Boogie Jr. </v>
      </c>
      <c r="D225" t="str">
        <f>VLOOKUP(SUBSTITUTE(TRIM(MID(H225,FIND(",TPE:",H225)-3,3)),"- ",""),Index!E:F,2,FALSE)</f>
        <v>Cornerback</v>
      </c>
      <c r="E225" t="str">
        <f t="shared" si="13"/>
        <v>S11</v>
      </c>
      <c r="F225" t="s">
        <v>251</v>
      </c>
      <c r="G225">
        <f t="shared" si="15"/>
        <v>62</v>
      </c>
      <c r="H225" t="s">
        <v>16</v>
      </c>
    </row>
    <row r="226" spans="1:8" x14ac:dyDescent="0.25">
      <c r="A226">
        <f t="shared" si="12"/>
        <v>1</v>
      </c>
      <c r="B226">
        <f t="shared" si="14"/>
        <v>9797</v>
      </c>
      <c r="C226" t="str">
        <f>[1]!RegExpSubstitute(MID(H226,FIND("- ",H226)+2,FIND("- ",H226,FIND("- ",H226)+1)-FIND("- ",H226)-2),"\&amp;quot\;.*\&amp;quot\;\W","")</f>
        <v xml:space="preserve">True Pierce </v>
      </c>
      <c r="D226" t="str">
        <f>VLOOKUP(SUBSTITUTE(TRIM(MID(H226,FIND(",TPE:",H226)-3,3)),"- ",""),Index!E:F,2,FALSE)</f>
        <v>Linebacker</v>
      </c>
      <c r="E226" t="str">
        <f t="shared" si="13"/>
        <v>S10</v>
      </c>
      <c r="F226" t="s">
        <v>251</v>
      </c>
      <c r="G226">
        <f t="shared" si="15"/>
        <v>76</v>
      </c>
      <c r="H226" t="s">
        <v>193</v>
      </c>
    </row>
    <row r="227" spans="1:8" x14ac:dyDescent="0.25">
      <c r="A227">
        <f t="shared" si="12"/>
        <v>1</v>
      </c>
      <c r="B227">
        <f t="shared" si="14"/>
        <v>9637</v>
      </c>
      <c r="C227" t="str">
        <f>[1]!RegExpSubstitute(MID(H227,FIND("- ",H227)+2,FIND("- ",H227,FIND("- ",H227)+1)-FIND("- ",H227)-2),"\&amp;quot\;.*\&amp;quot\;\W","")</f>
        <v xml:space="preserve">Jake Verden </v>
      </c>
      <c r="D227" t="str">
        <f>VLOOKUP(SUBSTITUTE(TRIM(MID(H227,FIND(",TPE:",H227)-3,3)),"- ",""),Index!E:F,2,FALSE)</f>
        <v>Cornerback</v>
      </c>
      <c r="E227" t="str">
        <f t="shared" si="13"/>
        <v>S10</v>
      </c>
      <c r="F227" t="s">
        <v>251</v>
      </c>
      <c r="G227">
        <f t="shared" si="15"/>
        <v>138</v>
      </c>
      <c r="H227" t="s">
        <v>17</v>
      </c>
    </row>
    <row r="228" spans="1:8" x14ac:dyDescent="0.25">
      <c r="A228">
        <f t="shared" si="12"/>
        <v>1</v>
      </c>
      <c r="B228">
        <f t="shared" si="14"/>
        <v>12778</v>
      </c>
      <c r="C228" t="str">
        <f>[1]!RegExpSubstitute(MID(H228,FIND("- ",H228)+2,FIND("- ",H228,FIND("- ",H228)+1)-FIND("- ",H228)-2),"\&amp;quot\;.*\&amp;quot\;\W","")</f>
        <v xml:space="preserve">RKANSAW N/A </v>
      </c>
      <c r="D228" t="str">
        <f>VLOOKUP(SUBSTITUTE(TRIM(MID(H228,FIND(",TPE:",H228)-3,3)),"- ",""),Index!E:F,2,FALSE)</f>
        <v>Runningback</v>
      </c>
      <c r="E228" t="str">
        <f t="shared" si="13"/>
        <v>S15</v>
      </c>
      <c r="F228" t="s">
        <v>252</v>
      </c>
      <c r="G228">
        <f t="shared" si="15"/>
        <v>50</v>
      </c>
      <c r="H228" t="s">
        <v>215</v>
      </c>
    </row>
    <row r="229" spans="1:8" x14ac:dyDescent="0.25">
      <c r="A229">
        <f t="shared" si="12"/>
        <v>1</v>
      </c>
      <c r="B229">
        <f t="shared" si="14"/>
        <v>12613</v>
      </c>
      <c r="C229" t="str">
        <f>[1]!RegExpSubstitute(MID(H229,FIND("- ",H229)+2,FIND("- ",H229,FIND("- ",H229)+1)-FIND("- ",H229)-2),"\&amp;quot\;.*\&amp;quot\;\W","")</f>
        <v xml:space="preserve">AJ Lattimer </v>
      </c>
      <c r="D229" t="str">
        <f>VLOOKUP(SUBSTITUTE(TRIM(MID(H229,FIND(",TPE:",H229)-3,3)),"- ",""),Index!E:F,2,FALSE)</f>
        <v>Defensive Line</v>
      </c>
      <c r="E229" t="str">
        <f t="shared" si="13"/>
        <v>S15</v>
      </c>
      <c r="F229" t="s">
        <v>252</v>
      </c>
      <c r="G229">
        <f t="shared" si="15"/>
        <v>118</v>
      </c>
      <c r="H229" t="s">
        <v>351</v>
      </c>
    </row>
    <row r="230" spans="1:8" x14ac:dyDescent="0.25">
      <c r="A230">
        <f t="shared" si="12"/>
        <v>1</v>
      </c>
      <c r="B230">
        <f t="shared" si="14"/>
        <v>12493</v>
      </c>
      <c r="C230" t="str">
        <f>[1]!RegExpSubstitute(MID(H230,FIND("- ",H230)+2,FIND("- ",H230,FIND("- ",H230)+1)-FIND("- ",H230)-2),"\&amp;quot\;.*\&amp;quot\;\W","")</f>
        <v xml:space="preserve">Pablo Sanchez </v>
      </c>
      <c r="D230" t="str">
        <f>VLOOKUP(SUBSTITUTE(TRIM(MID(H230,FIND(",TPE:",H230)-3,3)),"- ",""),Index!E:F,2,FALSE)</f>
        <v>Linebacker</v>
      </c>
      <c r="E230" t="str">
        <f t="shared" si="13"/>
        <v>S15</v>
      </c>
      <c r="F230" t="s">
        <v>252</v>
      </c>
      <c r="G230">
        <f t="shared" si="15"/>
        <v>50</v>
      </c>
      <c r="H230" t="s">
        <v>27</v>
      </c>
    </row>
    <row r="231" spans="1:8" x14ac:dyDescent="0.25">
      <c r="A231">
        <f t="shared" si="12"/>
        <v>1</v>
      </c>
      <c r="B231">
        <f t="shared" si="14"/>
        <v>12329</v>
      </c>
      <c r="C231" t="str">
        <f>[1]!RegExpSubstitute(MID(H231,FIND("- ",H231)+2,FIND("- ",H231,FIND("- ",H231)+1)-FIND("- ",H231)-2),"\&amp;quot\;.*\&amp;quot\;\W","")</f>
        <v xml:space="preserve">Tyler Janes </v>
      </c>
      <c r="D231" t="str">
        <f>VLOOKUP(SUBSTITUTE(TRIM(MID(H231,FIND(",TPE:",H231)-3,3)),"- ",""),Index!E:F,2,FALSE)</f>
        <v>Runningback</v>
      </c>
      <c r="E231" t="str">
        <f t="shared" si="13"/>
        <v>S15</v>
      </c>
      <c r="F231" t="s">
        <v>252</v>
      </c>
      <c r="G231">
        <f t="shared" si="15"/>
        <v>82</v>
      </c>
      <c r="H231" t="s">
        <v>352</v>
      </c>
    </row>
    <row r="232" spans="1:8" x14ac:dyDescent="0.25">
      <c r="A232">
        <f t="shared" si="12"/>
        <v>1</v>
      </c>
      <c r="B232">
        <f t="shared" si="14"/>
        <v>12378</v>
      </c>
      <c r="C232" t="str">
        <f>[1]!RegExpSubstitute(MID(H232,FIND("- ",H232)+2,FIND("- ",H232,FIND("- ",H232)+1)-FIND("- ",H232)-2),"\&amp;quot\;.*\&amp;quot\;\W","")</f>
        <v xml:space="preserve">Avery Thomas </v>
      </c>
      <c r="D232" t="str">
        <f>VLOOKUP(SUBSTITUTE(TRIM(MID(H232,FIND(",TPE:",H232)-3,3)),"- ",""),Index!E:F,2,FALSE)</f>
        <v>Safety</v>
      </c>
      <c r="E232" t="str">
        <f t="shared" si="13"/>
        <v>S15</v>
      </c>
      <c r="F232" t="s">
        <v>252</v>
      </c>
      <c r="G232">
        <f t="shared" si="15"/>
        <v>69</v>
      </c>
      <c r="H232" t="s">
        <v>353</v>
      </c>
    </row>
    <row r="233" spans="1:8" x14ac:dyDescent="0.25">
      <c r="A233">
        <f t="shared" si="12"/>
        <v>1</v>
      </c>
      <c r="B233">
        <f t="shared" si="14"/>
        <v>12326</v>
      </c>
      <c r="C233" t="str">
        <f>[1]!RegExpSubstitute(MID(H233,FIND("- ",H233)+2,FIND("- ",H233,FIND("- ",H233)+1)-FIND("- ",H233)-2),"\&amp;quot\;.*\&amp;quot\;\W","")</f>
        <v xml:space="preserve">Lightsout Lewis </v>
      </c>
      <c r="D233" t="str">
        <f>VLOOKUP(SUBSTITUTE(TRIM(MID(H233,FIND(",TPE:",H233)-3,3)),"- ",""),Index!E:F,2,FALSE)</f>
        <v>Linebacker</v>
      </c>
      <c r="E233" t="str">
        <f t="shared" si="13"/>
        <v>S15</v>
      </c>
      <c r="F233" t="s">
        <v>252</v>
      </c>
      <c r="G233">
        <f t="shared" si="15"/>
        <v>148</v>
      </c>
      <c r="H233" t="s">
        <v>354</v>
      </c>
    </row>
    <row r="234" spans="1:8" x14ac:dyDescent="0.25">
      <c r="A234">
        <f t="shared" si="12"/>
        <v>1</v>
      </c>
      <c r="B234">
        <f t="shared" si="14"/>
        <v>12322</v>
      </c>
      <c r="C234" t="str">
        <f>[1]!RegExpSubstitute(MID(H234,FIND("- ",H234)+2,FIND("- ",H234,FIND("- ",H234)+1)-FIND("- ",H234)-2),"\&amp;quot\;.*\&amp;quot\;\W","")</f>
        <v xml:space="preserve">Dashwan Jackson </v>
      </c>
      <c r="D234" t="str">
        <f>VLOOKUP(SUBSTITUTE(TRIM(MID(H234,FIND(",TPE:",H234)-3,3)),"- ",""),Index!E:F,2,FALSE)</f>
        <v>Wide Receiver</v>
      </c>
      <c r="E234" t="str">
        <f t="shared" si="13"/>
        <v>S15</v>
      </c>
      <c r="F234" t="s">
        <v>252</v>
      </c>
      <c r="G234">
        <f t="shared" si="15"/>
        <v>57</v>
      </c>
      <c r="H234" t="s">
        <v>216</v>
      </c>
    </row>
    <row r="235" spans="1:8" x14ac:dyDescent="0.25">
      <c r="A235">
        <f t="shared" si="12"/>
        <v>1</v>
      </c>
      <c r="B235">
        <f t="shared" si="14"/>
        <v>12292</v>
      </c>
      <c r="C235" t="str">
        <f>[1]!RegExpSubstitute(MID(H235,FIND("- ",H235)+2,FIND("- ",H235,FIND("- ",H235)+1)-FIND("- ",H235)-2),"\&amp;quot\;.*\&amp;quot\;\W","")</f>
        <v xml:space="preserve">Lanzer Grievous </v>
      </c>
      <c r="D235" t="str">
        <f>VLOOKUP(SUBSTITUTE(TRIM(MID(H235,FIND(",TPE:",H235)-3,3)),"- ",""),Index!E:F,2,FALSE)</f>
        <v>Linebacker</v>
      </c>
      <c r="E235" t="str">
        <f t="shared" si="13"/>
        <v>S15</v>
      </c>
      <c r="F235" t="s">
        <v>252</v>
      </c>
      <c r="G235">
        <f t="shared" si="15"/>
        <v>147</v>
      </c>
      <c r="H235" t="s">
        <v>355</v>
      </c>
    </row>
    <row r="236" spans="1:8" x14ac:dyDescent="0.25">
      <c r="A236">
        <f t="shared" si="12"/>
        <v>1</v>
      </c>
      <c r="B236">
        <f t="shared" si="14"/>
        <v>12288</v>
      </c>
      <c r="C236" t="str">
        <f>[1]!RegExpSubstitute(MID(H236,FIND("- ",H236)+2,FIND("- ",H236,FIND("- ",H236)+1)-FIND("- ",H236)-2),"\&amp;quot\;.*\&amp;quot\;\W","")</f>
        <v xml:space="preserve">CrayCray Lewis </v>
      </c>
      <c r="D236" t="str">
        <f>VLOOKUP(SUBSTITUTE(TRIM(MID(H236,FIND(",TPE:",H236)-3,3)),"- ",""),Index!E:F,2,FALSE)</f>
        <v>Linebacker</v>
      </c>
      <c r="E236" t="str">
        <f t="shared" si="13"/>
        <v>S15</v>
      </c>
      <c r="F236" t="s">
        <v>252</v>
      </c>
      <c r="G236">
        <f t="shared" si="15"/>
        <v>60</v>
      </c>
      <c r="H236" t="s">
        <v>217</v>
      </c>
    </row>
    <row r="237" spans="1:8" x14ac:dyDescent="0.25">
      <c r="A237">
        <f t="shared" si="12"/>
        <v>1</v>
      </c>
      <c r="B237">
        <f t="shared" si="14"/>
        <v>12268</v>
      </c>
      <c r="C237" t="str">
        <f>[1]!RegExpSubstitute(MID(H237,FIND("- ",H237)+2,FIND("- ",H237,FIND("- ",H237)+1)-FIND("- ",H237)-2),"\&amp;quot\;.*\&amp;quot\;\W","")</f>
        <v xml:space="preserve">Xerxes Ridley </v>
      </c>
      <c r="D237" t="str">
        <f>VLOOKUP(SUBSTITUTE(TRIM(MID(H237,FIND(",TPE:",H237)-3,3)),"- ",""),Index!E:F,2,FALSE)</f>
        <v>Cornerback</v>
      </c>
      <c r="E237" t="str">
        <f t="shared" si="13"/>
        <v>S15</v>
      </c>
      <c r="F237" t="s">
        <v>252</v>
      </c>
      <c r="G237">
        <f t="shared" si="15"/>
        <v>162</v>
      </c>
      <c r="H237" t="s">
        <v>356</v>
      </c>
    </row>
    <row r="238" spans="1:8" x14ac:dyDescent="0.25">
      <c r="A238">
        <f t="shared" si="12"/>
        <v>1</v>
      </c>
      <c r="B238">
        <f t="shared" si="14"/>
        <v>12204</v>
      </c>
      <c r="C238" t="str">
        <f>[1]!RegExpSubstitute(MID(H238,FIND("- ",H238)+2,FIND("- ",H238,FIND("- ",H238)+1)-FIND("- ",H238)-2),"\&amp;quot\;.*\&amp;quot\;\W","")</f>
        <v xml:space="preserve">Gregor Clegaine </v>
      </c>
      <c r="D238" t="str">
        <f>VLOOKUP(SUBSTITUTE(TRIM(MID(H238,FIND(",TPE:",H238)-3,3)),"- ",""),Index!E:F,2,FALSE)</f>
        <v>Offensive Line</v>
      </c>
      <c r="E238" t="str">
        <f t="shared" si="13"/>
        <v>S15</v>
      </c>
      <c r="F238" t="s">
        <v>252</v>
      </c>
      <c r="G238">
        <f t="shared" si="15"/>
        <v>50</v>
      </c>
      <c r="H238" t="s">
        <v>28</v>
      </c>
    </row>
    <row r="239" spans="1:8" x14ac:dyDescent="0.25">
      <c r="A239">
        <f t="shared" si="12"/>
        <v>1</v>
      </c>
      <c r="B239">
        <f t="shared" si="14"/>
        <v>12180</v>
      </c>
      <c r="C239" t="str">
        <f>[1]!RegExpSubstitute(MID(H239,FIND("- ",H239)+2,FIND("- ",H239,FIND("- ",H239)+1)-FIND("- ",H239)-2),"\&amp;quot\;.*\&amp;quot\;\W","")</f>
        <v xml:space="preserve">Taters Johnson </v>
      </c>
      <c r="D239" t="str">
        <f>VLOOKUP(SUBSTITUTE(TRIM(MID(H239,FIND(",TPE:",H239)-3,3)),"- ",""),Index!E:F,2,FALSE)</f>
        <v>Cornerback</v>
      </c>
      <c r="E239" t="str">
        <f t="shared" si="13"/>
        <v>S15</v>
      </c>
      <c r="F239" t="s">
        <v>252</v>
      </c>
      <c r="G239">
        <f t="shared" si="15"/>
        <v>50</v>
      </c>
      <c r="H239" t="s">
        <v>29</v>
      </c>
    </row>
    <row r="240" spans="1:8" x14ac:dyDescent="0.25">
      <c r="A240">
        <f t="shared" si="12"/>
        <v>1</v>
      </c>
      <c r="B240">
        <f t="shared" si="14"/>
        <v>12178</v>
      </c>
      <c r="C240" t="str">
        <f>[1]!RegExpSubstitute(MID(H240,FIND("- ",H240)+2,FIND("- ",H240,FIND("- ",H240)+1)-FIND("- ",H240)-2),"\&amp;quot\;.*\&amp;quot\;\W","")</f>
        <v xml:space="preserve">Alex Dasistwirklichseinnachname </v>
      </c>
      <c r="D240" t="str">
        <f>VLOOKUP(SUBSTITUTE(TRIM(MID(H240,FIND(",TPE:",H240)-3,3)),"- ",""),Index!E:F,2,FALSE)</f>
        <v>Kicker</v>
      </c>
      <c r="E240" t="str">
        <f t="shared" si="13"/>
        <v>S15</v>
      </c>
      <c r="F240" t="s">
        <v>252</v>
      </c>
      <c r="G240">
        <f t="shared" si="15"/>
        <v>95</v>
      </c>
      <c r="H240" t="s">
        <v>357</v>
      </c>
    </row>
    <row r="241" spans="1:8" x14ac:dyDescent="0.25">
      <c r="A241">
        <f t="shared" si="12"/>
        <v>1</v>
      </c>
      <c r="B241">
        <f t="shared" si="14"/>
        <v>12168</v>
      </c>
      <c r="C241" t="str">
        <f>[1]!RegExpSubstitute(MID(H241,FIND("- ",H241)+2,FIND("- ",H241,FIND("- ",H241)+1)-FIND("- ",H241)-2),"\&amp;quot\;.*\&amp;quot\;\W","")</f>
        <v xml:space="preserve">Justin Tyme </v>
      </c>
      <c r="D241" t="str">
        <f>VLOOKUP(SUBSTITUTE(TRIM(MID(H241,FIND(",TPE:",H241)-3,3)),"- ",""),Index!E:F,2,FALSE)</f>
        <v>Linebacker</v>
      </c>
      <c r="E241" t="str">
        <f t="shared" si="13"/>
        <v>S15</v>
      </c>
      <c r="F241" t="s">
        <v>252</v>
      </c>
      <c r="G241">
        <f t="shared" si="15"/>
        <v>50</v>
      </c>
      <c r="H241" t="s">
        <v>30</v>
      </c>
    </row>
    <row r="242" spans="1:8" x14ac:dyDescent="0.25">
      <c r="A242">
        <f t="shared" si="12"/>
        <v>1</v>
      </c>
      <c r="B242">
        <f t="shared" si="14"/>
        <v>12142</v>
      </c>
      <c r="C242" t="str">
        <f>[1]!RegExpSubstitute(MID(H242,FIND("- ",H242)+2,FIND("- ",H242,FIND("- ",H242)+1)-FIND("- ",H242)-2),"\&amp;quot\;.*\&amp;quot\;\W","")</f>
        <v xml:space="preserve">Kermit Stronglegs </v>
      </c>
      <c r="D242" t="str">
        <f>VLOOKUP(SUBSTITUTE(TRIM(MID(H242,FIND(",TPE:",H242)-3,3)),"- ",""),Index!E:F,2,FALSE)</f>
        <v>Runningback</v>
      </c>
      <c r="E242" t="str">
        <f t="shared" si="13"/>
        <v>S15</v>
      </c>
      <c r="F242" t="s">
        <v>252</v>
      </c>
      <c r="G242">
        <f t="shared" si="15"/>
        <v>92</v>
      </c>
      <c r="H242" t="s">
        <v>218</v>
      </c>
    </row>
    <row r="243" spans="1:8" x14ac:dyDescent="0.25">
      <c r="A243">
        <f t="shared" si="12"/>
        <v>1</v>
      </c>
      <c r="B243">
        <f t="shared" si="14"/>
        <v>12031</v>
      </c>
      <c r="C243" t="str">
        <f>[1]!RegExpSubstitute(MID(H243,FIND("- ",H243)+2,FIND("- ",H243,FIND("- ",H243)+1)-FIND("- ",H243)-2),"\&amp;quot\;.*\&amp;quot\;\W","")</f>
        <v xml:space="preserve">Franklin Armstrong </v>
      </c>
      <c r="D243" t="str">
        <f>VLOOKUP(SUBSTITUTE(TRIM(MID(H243,FIND(",TPE:",H243)-3,3)),"- ",""),Index!E:F,2,FALSE)</f>
        <v>Quarterback</v>
      </c>
      <c r="E243" t="str">
        <f t="shared" si="13"/>
        <v>S15</v>
      </c>
      <c r="F243" t="s">
        <v>252</v>
      </c>
      <c r="G243">
        <f t="shared" si="15"/>
        <v>163</v>
      </c>
      <c r="H243" t="s">
        <v>358</v>
      </c>
    </row>
    <row r="244" spans="1:8" x14ac:dyDescent="0.25">
      <c r="A244">
        <f t="shared" si="12"/>
        <v>1</v>
      </c>
      <c r="B244">
        <f t="shared" si="14"/>
        <v>12024</v>
      </c>
      <c r="C244" t="str">
        <f>[1]!RegExpSubstitute(MID(H244,FIND("- ",H244)+2,FIND("- ",H244,FIND("- ",H244)+1)-FIND("- ",H244)-2),"\&amp;quot\;.*\&amp;quot\;\W","")</f>
        <v xml:space="preserve">Richard D'Attoria V </v>
      </c>
      <c r="D244" t="str">
        <f>VLOOKUP(SUBSTITUTE(TRIM(MID(H244,FIND(",TPE:",H244)-3,3)),"- ",""),Index!E:F,2,FALSE)</f>
        <v>Safety</v>
      </c>
      <c r="E244" t="str">
        <f t="shared" si="13"/>
        <v>S15</v>
      </c>
      <c r="F244" t="s">
        <v>252</v>
      </c>
      <c r="G244">
        <f t="shared" si="15"/>
        <v>158</v>
      </c>
      <c r="H244" t="s">
        <v>359</v>
      </c>
    </row>
    <row r="245" spans="1:8" x14ac:dyDescent="0.25">
      <c r="A245">
        <f t="shared" si="12"/>
        <v>1</v>
      </c>
      <c r="B245">
        <f t="shared" si="14"/>
        <v>11992</v>
      </c>
      <c r="C245" t="str">
        <f>[1]!RegExpSubstitute(MID(H245,FIND("- ",H245)+2,FIND("- ",H245,FIND("- ",H245)+1)-FIND("- ",H245)-2),"\&amp;quot\;.*\&amp;quot\;\W","")</f>
        <v xml:space="preserve">Emondov Emoji </v>
      </c>
      <c r="D245" t="str">
        <f>VLOOKUP(SUBSTITUTE(TRIM(MID(H245,FIND(",TPE:",H245)-3,3)),"- ",""),Index!E:F,2,FALSE)</f>
        <v>Cornerback</v>
      </c>
      <c r="E245" t="str">
        <f t="shared" si="13"/>
        <v>S15</v>
      </c>
      <c r="F245" t="s">
        <v>252</v>
      </c>
      <c r="G245">
        <f t="shared" si="15"/>
        <v>187</v>
      </c>
      <c r="H245" t="s">
        <v>360</v>
      </c>
    </row>
    <row r="246" spans="1:8" x14ac:dyDescent="0.25">
      <c r="A246">
        <f t="shared" si="12"/>
        <v>1</v>
      </c>
      <c r="B246">
        <f t="shared" si="14"/>
        <v>11926</v>
      </c>
      <c r="C246" t="str">
        <f>[1]!RegExpSubstitute(MID(H246,FIND("- ",H246)+2,FIND("- ",H246,FIND("- ",H246)+1)-FIND("- ",H246)-2),"\&amp;quot\;.*\&amp;quot\;\W","")</f>
        <v xml:space="preserve">Gekyume Stokeley </v>
      </c>
      <c r="D246" t="str">
        <f>VLOOKUP(SUBSTITUTE(TRIM(MID(H246,FIND(",TPE:",H246)-3,3)),"- ",""),Index!E:F,2,FALSE)</f>
        <v>Linebacker</v>
      </c>
      <c r="E246" t="str">
        <f t="shared" si="13"/>
        <v>S14</v>
      </c>
      <c r="F246" t="s">
        <v>252</v>
      </c>
      <c r="G246">
        <f t="shared" si="15"/>
        <v>209</v>
      </c>
      <c r="H246" t="s">
        <v>361</v>
      </c>
    </row>
    <row r="247" spans="1:8" x14ac:dyDescent="0.25">
      <c r="A247">
        <f t="shared" si="12"/>
        <v>1</v>
      </c>
      <c r="B247">
        <f t="shared" si="14"/>
        <v>11755</v>
      </c>
      <c r="C247" t="str">
        <f>[1]!RegExpSubstitute(MID(H247,FIND("- ",H247)+2,FIND("- ",H247,FIND("- ",H247)+1)-FIND("- ",H247)-2),"\&amp;quot\;.*\&amp;quot\;\W","")</f>
        <v xml:space="preserve">Adam Hardin </v>
      </c>
      <c r="D247" t="str">
        <f>VLOOKUP(SUBSTITUTE(TRIM(MID(H247,FIND(",TPE:",H247)-3,3)),"- ",""),Index!E:F,2,FALSE)</f>
        <v>Quarterback</v>
      </c>
      <c r="E247" t="str">
        <f t="shared" si="13"/>
        <v>S14</v>
      </c>
      <c r="F247" t="s">
        <v>252</v>
      </c>
      <c r="G247">
        <f t="shared" si="15"/>
        <v>55</v>
      </c>
      <c r="H247" t="s">
        <v>31</v>
      </c>
    </row>
    <row r="248" spans="1:8" x14ac:dyDescent="0.25">
      <c r="A248">
        <f t="shared" si="12"/>
        <v>1</v>
      </c>
      <c r="B248">
        <f t="shared" si="14"/>
        <v>11738</v>
      </c>
      <c r="C248" t="str">
        <f>[1]!RegExpSubstitute(MID(H248,FIND("- ",H248)+2,FIND("- ",H248,FIND("- ",H248)+1)-FIND("- ",H248)-2),"\&amp;quot\;.*\&amp;quot\;\W","")</f>
        <v xml:space="preserve">Ricky Enbalse </v>
      </c>
      <c r="D248" t="str">
        <f>VLOOKUP(SUBSTITUTE(TRIM(MID(H248,FIND(",TPE:",H248)-3,3)),"- ",""),Index!E:F,2,FALSE)</f>
        <v>Linebacker</v>
      </c>
      <c r="E248" t="str">
        <f t="shared" si="13"/>
        <v>S14</v>
      </c>
      <c r="F248" t="s">
        <v>252</v>
      </c>
      <c r="G248">
        <f t="shared" si="15"/>
        <v>50</v>
      </c>
      <c r="H248" t="s">
        <v>32</v>
      </c>
    </row>
    <row r="249" spans="1:8" x14ac:dyDescent="0.25">
      <c r="A249">
        <f t="shared" si="12"/>
        <v>1</v>
      </c>
      <c r="B249">
        <f t="shared" si="14"/>
        <v>11684</v>
      </c>
      <c r="C249" t="str">
        <f>[1]!RegExpSubstitute(MID(H249,FIND("- ",H249)+2,FIND("- ",H249,FIND("- ",H249)+1)-FIND("- ",H249)-2),"\&amp;quot\;.*\&amp;quot\;\W","")</f>
        <v xml:space="preserve">Leighton Lee </v>
      </c>
      <c r="D249" t="str">
        <f>VLOOKUP(SUBSTITUTE(TRIM(MID(H249,FIND(",TPE:",H249)-3,3)),"- ",""),Index!E:F,2,FALSE)</f>
        <v>Linebacker</v>
      </c>
      <c r="E249" t="str">
        <f t="shared" si="13"/>
        <v>S14</v>
      </c>
      <c r="F249" t="s">
        <v>252</v>
      </c>
      <c r="G249">
        <f t="shared" si="15"/>
        <v>259</v>
      </c>
      <c r="H249" t="s">
        <v>219</v>
      </c>
    </row>
    <row r="250" spans="1:8" x14ac:dyDescent="0.25">
      <c r="A250">
        <f t="shared" si="12"/>
        <v>1</v>
      </c>
      <c r="B250">
        <f t="shared" si="14"/>
        <v>11615</v>
      </c>
      <c r="C250" t="str">
        <f>[1]!RegExpSubstitute(MID(H250,FIND("- ",H250)+2,FIND("- ",H250,FIND("- ",H250)+1)-FIND("- ",H250)-2),"\&amp;quot\;.*\&amp;quot\;\W","")</f>
        <v xml:space="preserve">Stanley Marshall </v>
      </c>
      <c r="D250" t="str">
        <f>VLOOKUP(SUBSTITUTE(TRIM(MID(H250,FIND(",TPE:",H250)-3,3)),"- ",""),Index!E:F,2,FALSE)</f>
        <v>Cornerback</v>
      </c>
      <c r="E250" t="str">
        <f t="shared" si="13"/>
        <v>S14</v>
      </c>
      <c r="F250" t="s">
        <v>252</v>
      </c>
      <c r="G250">
        <f t="shared" si="15"/>
        <v>50</v>
      </c>
      <c r="H250" t="s">
        <v>33</v>
      </c>
    </row>
    <row r="251" spans="1:8" x14ac:dyDescent="0.25">
      <c r="A251">
        <f t="shared" si="12"/>
        <v>1</v>
      </c>
      <c r="B251">
        <f t="shared" si="14"/>
        <v>11532</v>
      </c>
      <c r="C251" t="str">
        <f>[1]!RegExpSubstitute(MID(H251,FIND("- ",H251)+2,FIND("- ",H251,FIND("- ",H251)+1)-FIND("- ",H251)-2),"\&amp;quot\;.*\&amp;quot\;\W","")</f>
        <v xml:space="preserve">Bona'beri Jones </v>
      </c>
      <c r="D251" t="str">
        <f>VLOOKUP(SUBSTITUTE(TRIM(MID(H251,FIND(",TPE:",H251)-3,3)),"- ",""),Index!E:F,2,FALSE)</f>
        <v>Wide Receiver</v>
      </c>
      <c r="E251" t="str">
        <f t="shared" si="13"/>
        <v>S13</v>
      </c>
      <c r="F251" t="s">
        <v>252</v>
      </c>
      <c r="G251">
        <f t="shared" si="15"/>
        <v>211</v>
      </c>
      <c r="H251" t="s">
        <v>362</v>
      </c>
    </row>
    <row r="252" spans="1:8" x14ac:dyDescent="0.25">
      <c r="A252">
        <f t="shared" si="12"/>
        <v>1</v>
      </c>
      <c r="B252">
        <f t="shared" si="14"/>
        <v>10886</v>
      </c>
      <c r="C252" t="str">
        <f>[1]!RegExpSubstitute(MID(H252,FIND("- ",H252)+2,FIND("- ",H252,FIND("- ",H252)+1)-FIND("- ",H252)-2),"\&amp;quot\;.*\&amp;quot\;\W","")</f>
        <v xml:space="preserve">Roman Stakowski </v>
      </c>
      <c r="D252" t="str">
        <f>VLOOKUP(SUBSTITUTE(TRIM(MID(H252,FIND(",TPE:",H252)-3,3)),"- ",""),Index!E:F,2,FALSE)</f>
        <v>Tight End</v>
      </c>
      <c r="E252" t="str">
        <f t="shared" si="13"/>
        <v>S12</v>
      </c>
      <c r="F252" t="s">
        <v>252</v>
      </c>
      <c r="G252">
        <f t="shared" si="15"/>
        <v>227</v>
      </c>
      <c r="H252" t="s">
        <v>34</v>
      </c>
    </row>
    <row r="253" spans="1:8" x14ac:dyDescent="0.25">
      <c r="A253">
        <f t="shared" si="12"/>
        <v>1</v>
      </c>
      <c r="B253">
        <f t="shared" si="14"/>
        <v>10806</v>
      </c>
      <c r="C253" t="str">
        <f>[1]!RegExpSubstitute(MID(H253,FIND("- ",H253)+2,FIND("- ",H253,FIND("- ",H253)+1)-FIND("- ",H253)-2),"\&amp;quot\;.*\&amp;quot\;\W","")</f>
        <v xml:space="preserve">Grayson Wayne </v>
      </c>
      <c r="D253" t="str">
        <f>VLOOKUP(SUBSTITUTE(TRIM(MID(H253,FIND(",TPE:",H253)-3,3)),"- ",""),Index!E:F,2,FALSE)</f>
        <v>Safety</v>
      </c>
      <c r="E253" t="str">
        <f t="shared" si="13"/>
        <v>S12</v>
      </c>
      <c r="F253" t="s">
        <v>252</v>
      </c>
      <c r="G253">
        <f t="shared" si="15"/>
        <v>50</v>
      </c>
      <c r="H253" t="s">
        <v>35</v>
      </c>
    </row>
    <row r="254" spans="1:8" x14ac:dyDescent="0.25">
      <c r="A254">
        <f t="shared" si="12"/>
        <v>1</v>
      </c>
      <c r="B254">
        <f t="shared" si="14"/>
        <v>10741</v>
      </c>
      <c r="C254" t="str">
        <f>[1]!RegExpSubstitute(MID(H254,FIND("- ",H254)+2,FIND("- ",H254,FIND("- ",H254)+1)-FIND("- ",H254)-2),"\&amp;quot\;.*\&amp;quot\;\W","")</f>
        <v xml:space="preserve">Beauregard Smallwood-Chess </v>
      </c>
      <c r="D254" t="str">
        <f>VLOOKUP(SUBSTITUTE(TRIM(MID(H254,FIND(",TPE:",H254)-3,3)),"- ",""),Index!E:F,2,FALSE)</f>
        <v>Runningback</v>
      </c>
      <c r="E254" t="str">
        <f t="shared" si="13"/>
        <v>S12</v>
      </c>
      <c r="F254" t="s">
        <v>252</v>
      </c>
      <c r="G254">
        <f t="shared" si="15"/>
        <v>136</v>
      </c>
      <c r="H254" t="s">
        <v>36</v>
      </c>
    </row>
    <row r="255" spans="1:8" x14ac:dyDescent="0.25">
      <c r="A255">
        <f t="shared" si="12"/>
        <v>1</v>
      </c>
      <c r="B255">
        <f t="shared" si="14"/>
        <v>12606</v>
      </c>
      <c r="C255" t="str">
        <f>[1]!RegExpSubstitute(MID(H255,FIND("- ",H255)+2,FIND("- ",H255,FIND("- ",H255)+1)-FIND("- ",H255)-2),"\&amp;quot\;.*\&amp;quot\;\W","")</f>
        <v xml:space="preserve">David Le Kre </v>
      </c>
      <c r="D255" t="str">
        <f>VLOOKUP(SUBSTITUTE(TRIM(MID(H255,FIND(",TPE:",H255)-3,3)),"- ",""),Index!E:F,2,FALSE)</f>
        <v>Cornerback</v>
      </c>
      <c r="E255" t="str">
        <f t="shared" si="13"/>
        <v>S15</v>
      </c>
      <c r="F255" t="s">
        <v>253</v>
      </c>
      <c r="G255">
        <f t="shared" si="15"/>
        <v>55</v>
      </c>
      <c r="H255" t="s">
        <v>220</v>
      </c>
    </row>
    <row r="256" spans="1:8" x14ac:dyDescent="0.25">
      <c r="A256">
        <f t="shared" si="12"/>
        <v>1</v>
      </c>
      <c r="B256">
        <f t="shared" si="14"/>
        <v>12381</v>
      </c>
      <c r="C256" t="str">
        <f>[1]!RegExpSubstitute(MID(H256,FIND("- ",H256)+2,FIND("- ",H256,FIND("- ",H256)+1)-FIND("- ",H256)-2),"\&amp;quot\;.*\&amp;quot\;\W","")</f>
        <v xml:space="preserve">Lawalin Tae'orr </v>
      </c>
      <c r="D256" t="str">
        <f>VLOOKUP(SUBSTITUTE(TRIM(MID(H256,FIND(",TPE:",H256)-3,3)),"- ",""),Index!E:F,2,FALSE)</f>
        <v>Linebacker</v>
      </c>
      <c r="E256" t="str">
        <f t="shared" si="13"/>
        <v>S15</v>
      </c>
      <c r="F256" t="s">
        <v>253</v>
      </c>
      <c r="G256">
        <f t="shared" si="15"/>
        <v>50</v>
      </c>
      <c r="H256" t="s">
        <v>38</v>
      </c>
    </row>
    <row r="257" spans="1:8" x14ac:dyDescent="0.25">
      <c r="A257">
        <f t="shared" si="12"/>
        <v>1</v>
      </c>
      <c r="B257">
        <f t="shared" si="14"/>
        <v>12364</v>
      </c>
      <c r="C257" t="str">
        <f>[1]!RegExpSubstitute(MID(H257,FIND("- ",H257)+2,FIND("- ",H257,FIND("- ",H257)+1)-FIND("- ",H257)-2),"\&amp;quot\;.*\&amp;quot\;\W","")</f>
        <v xml:space="preserve">Nero Alexander </v>
      </c>
      <c r="D257" t="str">
        <f>VLOOKUP(SUBSTITUTE(TRIM(MID(H257,FIND(",TPE:",H257)-3,3)),"- ",""),Index!E:F,2,FALSE)</f>
        <v>Defensive Line</v>
      </c>
      <c r="E257" t="str">
        <f t="shared" si="13"/>
        <v>S15</v>
      </c>
      <c r="F257" t="s">
        <v>253</v>
      </c>
      <c r="G257">
        <f t="shared" si="15"/>
        <v>166</v>
      </c>
      <c r="H257" t="s">
        <v>363</v>
      </c>
    </row>
    <row r="258" spans="1:8" x14ac:dyDescent="0.25">
      <c r="A258">
        <f t="shared" ref="A258:A321" si="16">COUNTIF($B$2:$B$375,B258)</f>
        <v>1</v>
      </c>
      <c r="B258">
        <f t="shared" si="14"/>
        <v>12363</v>
      </c>
      <c r="C258" t="str">
        <f>[1]!RegExpSubstitute(MID(H258,FIND("- ",H258)+2,FIND("- ",H258,FIND("- ",H258)+1)-FIND("- ",H258)-2),"\&amp;quot\;.*\&amp;quot\;\W","")</f>
        <v xml:space="preserve">Franklin Cooper </v>
      </c>
      <c r="D258" t="str">
        <f>VLOOKUP(SUBSTITUTE(TRIM(MID(H258,FIND(",TPE:",H258)-3,3)),"- ",""),Index!E:F,2,FALSE)</f>
        <v>Safety</v>
      </c>
      <c r="E258" t="str">
        <f t="shared" ref="E258:E321" si="17">MID(H258,FIND("(",H258)+1,FIND(")",H258)-FIND("(",H258)-1)</f>
        <v>S15</v>
      </c>
      <c r="F258" t="s">
        <v>253</v>
      </c>
      <c r="G258">
        <f t="shared" si="15"/>
        <v>73</v>
      </c>
      <c r="H258" t="s">
        <v>364</v>
      </c>
    </row>
    <row r="259" spans="1:8" x14ac:dyDescent="0.25">
      <c r="A259">
        <f t="shared" si="16"/>
        <v>1</v>
      </c>
      <c r="B259">
        <f t="shared" ref="B259:B322" si="18">[1]!Numerize(MID(H259,FIND("=",H259),10))+0</f>
        <v>12283</v>
      </c>
      <c r="C259" t="str">
        <f>[1]!RegExpSubstitute(MID(H259,FIND("- ",H259)+2,FIND("- ",H259,FIND("- ",H259)+1)-FIND("- ",H259)-2),"\&amp;quot\;.*\&amp;quot\;\W","")</f>
        <v xml:space="preserve">Walt Green </v>
      </c>
      <c r="D259" t="str">
        <f>VLOOKUP(SUBSTITUTE(TRIM(MID(H259,FIND(",TPE:",H259)-3,3)),"- ",""),Index!E:F,2,FALSE)</f>
        <v>Safety</v>
      </c>
      <c r="E259" t="str">
        <f t="shared" si="17"/>
        <v>S15</v>
      </c>
      <c r="F259" t="s">
        <v>253</v>
      </c>
      <c r="G259">
        <f t="shared" ref="G259:G322" si="19">MID(H259,FIND("TPE: ",H259)+5,FIND(", ",H259,FIND("TPE: ",H259))-FIND("TPE: ",H259)-5)+0</f>
        <v>154</v>
      </c>
      <c r="H259" t="s">
        <v>365</v>
      </c>
    </row>
    <row r="260" spans="1:8" x14ac:dyDescent="0.25">
      <c r="A260">
        <f t="shared" si="16"/>
        <v>1</v>
      </c>
      <c r="B260">
        <f t="shared" si="18"/>
        <v>12276</v>
      </c>
      <c r="C260" t="str">
        <f>[1]!RegExpSubstitute(MID(H260,FIND("- ",H260)+2,FIND("- ",H260,FIND("- ",H260)+1)-FIND("- ",H260)-2),"\&amp;quot\;.*\&amp;quot\;\W","")</f>
        <v xml:space="preserve">Memphis Wilkerson </v>
      </c>
      <c r="D260" t="str">
        <f>VLOOKUP(SUBSTITUTE(TRIM(MID(H260,FIND(",TPE:",H260)-3,3)),"- ",""),Index!E:F,2,FALSE)</f>
        <v>Defensive Line</v>
      </c>
      <c r="E260" t="str">
        <f t="shared" si="17"/>
        <v>S15</v>
      </c>
      <c r="F260" t="s">
        <v>253</v>
      </c>
      <c r="G260">
        <f t="shared" si="19"/>
        <v>50</v>
      </c>
      <c r="H260" t="s">
        <v>39</v>
      </c>
    </row>
    <row r="261" spans="1:8" x14ac:dyDescent="0.25">
      <c r="A261">
        <f t="shared" si="16"/>
        <v>1</v>
      </c>
      <c r="B261">
        <f t="shared" si="18"/>
        <v>12258</v>
      </c>
      <c r="C261" t="str">
        <f>[1]!RegExpSubstitute(MID(H261,FIND("- ",H261)+2,FIND("- ",H261,FIND("- ",H261)+1)-FIND("- ",H261)-2),"\&amp;quot\;.*\&amp;quot\;\W","")</f>
        <v xml:space="preserve">Max Vaz </v>
      </c>
      <c r="D261" t="str">
        <f>VLOOKUP(SUBSTITUTE(TRIM(MID(H261,FIND(",TPE:",H261)-3,3)),"- ",""),Index!E:F,2,FALSE)</f>
        <v>Runningback</v>
      </c>
      <c r="E261" t="str">
        <f t="shared" si="17"/>
        <v>S15</v>
      </c>
      <c r="F261" t="s">
        <v>253</v>
      </c>
      <c r="G261">
        <f t="shared" si="19"/>
        <v>67</v>
      </c>
      <c r="H261" t="s">
        <v>221</v>
      </c>
    </row>
    <row r="262" spans="1:8" x14ac:dyDescent="0.25">
      <c r="A262">
        <f t="shared" si="16"/>
        <v>1</v>
      </c>
      <c r="B262">
        <f t="shared" si="18"/>
        <v>12252</v>
      </c>
      <c r="C262" t="str">
        <f>[1]!RegExpSubstitute(MID(H262,FIND("- ",H262)+2,FIND("- ",H262,FIND("- ",H262)+1)-FIND("- ",H262)-2),"\&amp;quot\;.*\&amp;quot\;\W","")</f>
        <v xml:space="preserve">Mister Big Chest </v>
      </c>
      <c r="D262" t="str">
        <f>VLOOKUP(SUBSTITUTE(TRIM(MID(H262,FIND(",TPE:",H262)-3,3)),"- ",""),Index!E:F,2,FALSE)</f>
        <v>Wide Receiver</v>
      </c>
      <c r="E262" t="str">
        <f t="shared" si="17"/>
        <v>S15</v>
      </c>
      <c r="F262" t="s">
        <v>253</v>
      </c>
      <c r="G262">
        <f t="shared" si="19"/>
        <v>82</v>
      </c>
      <c r="H262" t="s">
        <v>222</v>
      </c>
    </row>
    <row r="263" spans="1:8" x14ac:dyDescent="0.25">
      <c r="A263">
        <f t="shared" si="16"/>
        <v>1</v>
      </c>
      <c r="B263">
        <f t="shared" si="18"/>
        <v>12228</v>
      </c>
      <c r="C263" t="str">
        <f>[1]!RegExpSubstitute(MID(H263,FIND("- ",H263)+2,FIND("- ",H263,FIND("- ",H263)+1)-FIND("- ",H263)-2),"\&amp;quot\;.*\&amp;quot\;\W","")</f>
        <v xml:space="preserve">Robert Kleven </v>
      </c>
      <c r="D263" t="str">
        <f>VLOOKUP(SUBSTITUTE(TRIM(MID(H263,FIND(",TPE:",H263)-3,3)),"- ",""),Index!E:F,2,FALSE)</f>
        <v>Wide Receiver</v>
      </c>
      <c r="E263" t="str">
        <f t="shared" si="17"/>
        <v>S15</v>
      </c>
      <c r="F263" t="s">
        <v>253</v>
      </c>
      <c r="G263">
        <f t="shared" si="19"/>
        <v>57</v>
      </c>
      <c r="H263" t="s">
        <v>223</v>
      </c>
    </row>
    <row r="264" spans="1:8" x14ac:dyDescent="0.25">
      <c r="A264">
        <f t="shared" si="16"/>
        <v>1</v>
      </c>
      <c r="B264">
        <f t="shared" si="18"/>
        <v>12191</v>
      </c>
      <c r="C264" t="str">
        <f>[1]!RegExpSubstitute(MID(H264,FIND("- ",H264)+2,FIND("- ",H264,FIND("- ",H264)+1)-FIND("- ",H264)-2),"\&amp;quot\;.*\&amp;quot\;\W","")</f>
        <v xml:space="preserve">Morgan Marshall </v>
      </c>
      <c r="D264" t="str">
        <f>VLOOKUP(SUBSTITUTE(TRIM(MID(H264,FIND(",TPE:",H264)-3,3)),"- ",""),Index!E:F,2,FALSE)</f>
        <v>Runningback</v>
      </c>
      <c r="E264" t="str">
        <f t="shared" si="17"/>
        <v>S15</v>
      </c>
      <c r="F264" t="s">
        <v>253</v>
      </c>
      <c r="G264">
        <f t="shared" si="19"/>
        <v>168</v>
      </c>
      <c r="H264" t="s">
        <v>366</v>
      </c>
    </row>
    <row r="265" spans="1:8" x14ac:dyDescent="0.25">
      <c r="A265">
        <f t="shared" si="16"/>
        <v>1</v>
      </c>
      <c r="B265">
        <f t="shared" si="18"/>
        <v>12186</v>
      </c>
      <c r="C265" t="str">
        <f>[1]!RegExpSubstitute(MID(H265,FIND("- ",H265)+2,FIND("- ",H265,FIND("- ",H265)+1)-FIND("- ",H265)-2),"\&amp;quot\;.*\&amp;quot\;\W","")</f>
        <v xml:space="preserve">Timmy Hoss </v>
      </c>
      <c r="D265" t="str">
        <f>VLOOKUP(SUBSTITUTE(TRIM(MID(H265,FIND(",TPE:",H265)-3,3)),"- ",""),Index!E:F,2,FALSE)</f>
        <v>Tight End</v>
      </c>
      <c r="E265" t="str">
        <f t="shared" si="17"/>
        <v>S15</v>
      </c>
      <c r="F265" t="s">
        <v>253</v>
      </c>
      <c r="G265">
        <f t="shared" si="19"/>
        <v>155</v>
      </c>
      <c r="H265" t="s">
        <v>367</v>
      </c>
    </row>
    <row r="266" spans="1:8" x14ac:dyDescent="0.25">
      <c r="A266">
        <f t="shared" si="16"/>
        <v>1</v>
      </c>
      <c r="B266">
        <f t="shared" si="18"/>
        <v>12164</v>
      </c>
      <c r="C266" t="str">
        <f>[1]!RegExpSubstitute(MID(H266,FIND("- ",H266)+2,FIND("- ",H266,FIND("- ",H266)+1)-FIND("- ",H266)-2),"\&amp;quot\;.*\&amp;quot\;\W","")</f>
        <v xml:space="preserve">Bruce Waynner </v>
      </c>
      <c r="D266" t="str">
        <f>VLOOKUP(SUBSTITUTE(TRIM(MID(H266,FIND(",TPE:",H266)-3,3)),"- ",""),Index!E:F,2,FALSE)</f>
        <v>Defensive Line</v>
      </c>
      <c r="E266" t="str">
        <f t="shared" si="17"/>
        <v>S15</v>
      </c>
      <c r="F266" t="s">
        <v>253</v>
      </c>
      <c r="G266">
        <f t="shared" si="19"/>
        <v>59</v>
      </c>
      <c r="H266" t="s">
        <v>224</v>
      </c>
    </row>
    <row r="267" spans="1:8" x14ac:dyDescent="0.25">
      <c r="A267">
        <f t="shared" si="16"/>
        <v>1</v>
      </c>
      <c r="B267">
        <f t="shared" si="18"/>
        <v>12144</v>
      </c>
      <c r="C267" t="str">
        <f>[1]!RegExpSubstitute(MID(H267,FIND("- ",H267)+2,FIND("- ",H267,FIND("- ",H267)+1)-FIND("- ",H267)-2),"\&amp;quot\;.*\&amp;quot\;\W","")</f>
        <v xml:space="preserve">Neon Demon </v>
      </c>
      <c r="D267" t="str">
        <f>VLOOKUP(SUBSTITUTE(TRIM(MID(H267,FIND(",TPE:",H267)-3,3)),"- ",""),Index!E:F,2,FALSE)</f>
        <v>Cornerback</v>
      </c>
      <c r="E267" t="str">
        <f t="shared" si="17"/>
        <v>S15</v>
      </c>
      <c r="F267" t="s">
        <v>253</v>
      </c>
      <c r="G267">
        <f t="shared" si="19"/>
        <v>50</v>
      </c>
      <c r="H267" t="s">
        <v>40</v>
      </c>
    </row>
    <row r="268" spans="1:8" x14ac:dyDescent="0.25">
      <c r="A268">
        <f t="shared" si="16"/>
        <v>1</v>
      </c>
      <c r="B268">
        <f t="shared" si="18"/>
        <v>12109</v>
      </c>
      <c r="C268" t="str">
        <f>[1]!RegExpSubstitute(MID(H268,FIND("- ",H268)+2,FIND("- ",H268,FIND("- ",H268)+1)-FIND("- ",H268)-2),"\&amp;quot\;.*\&amp;quot\;\W","")</f>
        <v xml:space="preserve">Quenton Bode </v>
      </c>
      <c r="D268" t="str">
        <f>VLOOKUP(SUBSTITUTE(TRIM(MID(H268,FIND(",TPE:",H268)-3,3)),"- ",""),Index!E:F,2,FALSE)</f>
        <v>Linebacker</v>
      </c>
      <c r="E268" t="str">
        <f t="shared" si="17"/>
        <v>S15</v>
      </c>
      <c r="F268" t="s">
        <v>253</v>
      </c>
      <c r="G268">
        <f t="shared" si="19"/>
        <v>146</v>
      </c>
      <c r="H268" t="s">
        <v>368</v>
      </c>
    </row>
    <row r="269" spans="1:8" x14ac:dyDescent="0.25">
      <c r="A269">
        <f t="shared" si="16"/>
        <v>1</v>
      </c>
      <c r="B269">
        <f t="shared" si="18"/>
        <v>12113</v>
      </c>
      <c r="C269" t="str">
        <f>[1]!RegExpSubstitute(MID(H269,FIND("- ",H269)+2,FIND("- ",H269,FIND("- ",H269)+1)-FIND("- ",H269)-2),"\&amp;quot\;.*\&amp;quot\;\W","")</f>
        <v xml:space="preserve">Mo Berry </v>
      </c>
      <c r="D269" t="str">
        <f>VLOOKUP(SUBSTITUTE(TRIM(MID(H269,FIND(",TPE:",H269)-3,3)),"- ",""),Index!E:F,2,FALSE)</f>
        <v>Linebacker</v>
      </c>
      <c r="E269" t="str">
        <f t="shared" si="17"/>
        <v>S15</v>
      </c>
      <c r="F269" t="s">
        <v>253</v>
      </c>
      <c r="G269">
        <f t="shared" si="19"/>
        <v>148</v>
      </c>
      <c r="H269" t="s">
        <v>369</v>
      </c>
    </row>
    <row r="270" spans="1:8" x14ac:dyDescent="0.25">
      <c r="A270">
        <f t="shared" si="16"/>
        <v>1</v>
      </c>
      <c r="B270">
        <f t="shared" si="18"/>
        <v>12034</v>
      </c>
      <c r="C270" t="str">
        <f>[1]!RegExpSubstitute(MID(H270,FIND("- ",H270)+2,FIND("- ",H270,FIND("- ",H270)+1)-FIND("- ",H270)-2),"\&amp;quot\;.*\&amp;quot\;\W","")</f>
        <v xml:space="preserve">Shaquill Williams VII </v>
      </c>
      <c r="D270" t="str">
        <f>VLOOKUP(SUBSTITUTE(TRIM(MID(H270,FIND(",TPE:",H270)-3,3)),"- ",""),Index!E:F,2,FALSE)</f>
        <v>Safety</v>
      </c>
      <c r="E270" t="str">
        <f t="shared" si="17"/>
        <v>S15</v>
      </c>
      <c r="F270" t="s">
        <v>253</v>
      </c>
      <c r="G270">
        <f t="shared" si="19"/>
        <v>64</v>
      </c>
      <c r="H270" t="s">
        <v>41</v>
      </c>
    </row>
    <row r="271" spans="1:8" x14ac:dyDescent="0.25">
      <c r="A271">
        <f t="shared" si="16"/>
        <v>1</v>
      </c>
      <c r="B271">
        <f t="shared" si="18"/>
        <v>11947</v>
      </c>
      <c r="C271" t="str">
        <f>[1]!RegExpSubstitute(MID(H271,FIND("- ",H271)+2,FIND("- ",H271,FIND("- ",H271)+1)-FIND("- ",H271)-2),"\&amp;quot\;.*\&amp;quot\;\W","")</f>
        <v xml:space="preserve">Buchanan Simons </v>
      </c>
      <c r="D271" t="str">
        <f>VLOOKUP(SUBSTITUTE(TRIM(MID(H271,FIND(",TPE:",H271)-3,3)),"- ",""),Index!E:F,2,FALSE)</f>
        <v>Cornerback</v>
      </c>
      <c r="E271" t="str">
        <f t="shared" si="17"/>
        <v>S14</v>
      </c>
      <c r="F271" t="s">
        <v>253</v>
      </c>
      <c r="G271">
        <f t="shared" si="19"/>
        <v>50</v>
      </c>
      <c r="H271" t="s">
        <v>42</v>
      </c>
    </row>
    <row r="272" spans="1:8" x14ac:dyDescent="0.25">
      <c r="A272">
        <f t="shared" si="16"/>
        <v>1</v>
      </c>
      <c r="B272">
        <f t="shared" si="18"/>
        <v>11775</v>
      </c>
      <c r="C272" t="str">
        <f>[1]!RegExpSubstitute(MID(H272,FIND("- ",H272)+2,FIND("- ",H272,FIND("- ",H272)+1)-FIND("- ",H272)-2),"\&amp;quot\;.*\&amp;quot\;\W","")</f>
        <v xml:space="preserve">Thad Castle </v>
      </c>
      <c r="D272" t="str">
        <f>VLOOKUP(SUBSTITUTE(TRIM(MID(H272,FIND(",TPE:",H272)-3,3)),"- ",""),Index!E:F,2,FALSE)</f>
        <v>Linebacker</v>
      </c>
      <c r="E272" t="str">
        <f t="shared" si="17"/>
        <v>S14</v>
      </c>
      <c r="F272" t="s">
        <v>253</v>
      </c>
      <c r="G272">
        <f t="shared" si="19"/>
        <v>55</v>
      </c>
      <c r="H272" t="s">
        <v>43</v>
      </c>
    </row>
    <row r="273" spans="1:8" x14ac:dyDescent="0.25">
      <c r="A273">
        <f t="shared" si="16"/>
        <v>1</v>
      </c>
      <c r="B273">
        <f t="shared" si="18"/>
        <v>11764</v>
      </c>
      <c r="C273" t="str">
        <f>[1]!RegExpSubstitute(MID(H273,FIND("- ",H273)+2,FIND("- ",H273,FIND("- ",H273)+1)-FIND("- ",H273)-2),"\&amp;quot\;.*\&amp;quot\;\W","")</f>
        <v xml:space="preserve">James Andrews </v>
      </c>
      <c r="D273" t="str">
        <f>VLOOKUP(SUBSTITUTE(TRIM(MID(H273,FIND(",TPE:",H273)-3,3)),"- ",""),Index!E:F,2,FALSE)</f>
        <v>Defensive Line</v>
      </c>
      <c r="E273" t="str">
        <f t="shared" si="17"/>
        <v>S14</v>
      </c>
      <c r="F273" t="s">
        <v>253</v>
      </c>
      <c r="G273">
        <f t="shared" si="19"/>
        <v>50</v>
      </c>
      <c r="H273" t="s">
        <v>44</v>
      </c>
    </row>
    <row r="274" spans="1:8" x14ac:dyDescent="0.25">
      <c r="A274">
        <f t="shared" si="16"/>
        <v>1</v>
      </c>
      <c r="B274">
        <f t="shared" si="18"/>
        <v>11747</v>
      </c>
      <c r="C274" t="str">
        <f>[1]!RegExpSubstitute(MID(H274,FIND("- ",H274)+2,FIND("- ",H274,FIND("- ",H274)+1)-FIND("- ",H274)-2),"\&amp;quot\;.*\&amp;quot\;\W","")</f>
        <v xml:space="preserve">Drew Maddox </v>
      </c>
      <c r="D274" t="str">
        <f>VLOOKUP(SUBSTITUTE(TRIM(MID(H274,FIND(",TPE:",H274)-3,3)),"- ",""),Index!E:F,2,FALSE)</f>
        <v>Wide Receiver</v>
      </c>
      <c r="E274" t="str">
        <f t="shared" si="17"/>
        <v>S14</v>
      </c>
      <c r="F274" t="s">
        <v>253</v>
      </c>
      <c r="G274">
        <f t="shared" si="19"/>
        <v>79</v>
      </c>
      <c r="H274" t="s">
        <v>45</v>
      </c>
    </row>
    <row r="275" spans="1:8" x14ac:dyDescent="0.25">
      <c r="A275">
        <f t="shared" si="16"/>
        <v>1</v>
      </c>
      <c r="B275">
        <f t="shared" si="18"/>
        <v>11706</v>
      </c>
      <c r="C275" t="str">
        <f>[1]!RegExpSubstitute(MID(H275,FIND("- ",H275)+2,FIND("- ",H275,FIND("- ",H275)+1)-FIND("- ",H275)-2),"\&amp;quot\;.*\&amp;quot\;\W","")</f>
        <v xml:space="preserve">Joseph Henry </v>
      </c>
      <c r="D275" t="str">
        <f>VLOOKUP(SUBSTITUTE(TRIM(MID(H275,FIND(",TPE:",H275)-3,3)),"- ",""),Index!E:F,2,FALSE)</f>
        <v>Defensive Line</v>
      </c>
      <c r="E275" t="str">
        <f t="shared" si="17"/>
        <v>S14</v>
      </c>
      <c r="F275" t="s">
        <v>253</v>
      </c>
      <c r="G275">
        <f t="shared" si="19"/>
        <v>197</v>
      </c>
      <c r="H275" t="s">
        <v>370</v>
      </c>
    </row>
    <row r="276" spans="1:8" x14ac:dyDescent="0.25">
      <c r="A276">
        <f t="shared" si="16"/>
        <v>1</v>
      </c>
      <c r="B276">
        <f t="shared" si="18"/>
        <v>11587</v>
      </c>
      <c r="C276" t="str">
        <f>[1]!RegExpSubstitute(MID(H276,FIND("- ",H276)+2,FIND("- ",H276,FIND("- ",H276)+1)-FIND("- ",H276)-2),"\&amp;quot\;.*\&amp;quot\;\W","")</f>
        <v xml:space="preserve">Cooter Bigsby </v>
      </c>
      <c r="D276" t="str">
        <f>VLOOKUP(SUBSTITUTE(TRIM(MID(H276,FIND(",TPE:",H276)-3,3)),"- ",""),Index!E:F,2,FALSE)</f>
        <v>Quarterback</v>
      </c>
      <c r="E276" t="str">
        <f t="shared" si="17"/>
        <v>S14</v>
      </c>
      <c r="F276" t="s">
        <v>253</v>
      </c>
      <c r="G276">
        <f t="shared" si="19"/>
        <v>347</v>
      </c>
      <c r="H276" t="s">
        <v>371</v>
      </c>
    </row>
    <row r="277" spans="1:8" x14ac:dyDescent="0.25">
      <c r="A277">
        <f t="shared" si="16"/>
        <v>1</v>
      </c>
      <c r="B277">
        <f t="shared" si="18"/>
        <v>11499</v>
      </c>
      <c r="C277" t="str">
        <f>[1]!RegExpSubstitute(MID(H277,FIND("- ",H277)+2,FIND("- ",H277,FIND("- ",H277)+1)-FIND("- ",H277)-2),"\&amp;quot\;.*\&amp;quot\;\W","")</f>
        <v xml:space="preserve">Vander Jones </v>
      </c>
      <c r="D277" t="str">
        <f>VLOOKUP(SUBSTITUTE(TRIM(MID(H277,FIND(",TPE:",H277)-3,3)),"- ",""),Index!E:F,2,FALSE)</f>
        <v>Cornerback</v>
      </c>
      <c r="E277" t="str">
        <f t="shared" si="17"/>
        <v>S13</v>
      </c>
      <c r="F277" t="s">
        <v>253</v>
      </c>
      <c r="G277">
        <f t="shared" si="19"/>
        <v>233</v>
      </c>
      <c r="H277" t="s">
        <v>372</v>
      </c>
    </row>
    <row r="278" spans="1:8" x14ac:dyDescent="0.25">
      <c r="A278">
        <f t="shared" si="16"/>
        <v>1</v>
      </c>
      <c r="B278">
        <f t="shared" si="18"/>
        <v>10973</v>
      </c>
      <c r="C278" t="str">
        <f>[1]!RegExpSubstitute(MID(H278,FIND("- ",H278)+2,FIND("- ",H278,FIND("- ",H278)+1)-FIND("- ",H278)-2),"\&amp;quot\;.*\&amp;quot\;\W","")</f>
        <v xml:space="preserve">Jon Gott </v>
      </c>
      <c r="D278" t="str">
        <f>VLOOKUP(SUBSTITUTE(TRIM(MID(H278,FIND(",TPE:",H278)-3,3)),"- ",""),Index!E:F,2,FALSE)</f>
        <v>Linebacker</v>
      </c>
      <c r="E278" t="str">
        <f t="shared" si="17"/>
        <v>S12</v>
      </c>
      <c r="F278" t="s">
        <v>253</v>
      </c>
      <c r="G278">
        <f t="shared" si="19"/>
        <v>148</v>
      </c>
      <c r="H278" t="s">
        <v>46</v>
      </c>
    </row>
    <row r="279" spans="1:8" x14ac:dyDescent="0.25">
      <c r="A279">
        <f t="shared" si="16"/>
        <v>1</v>
      </c>
      <c r="B279">
        <f t="shared" si="18"/>
        <v>10516</v>
      </c>
      <c r="C279" t="str">
        <f>[1]!RegExpSubstitute(MID(H279,FIND("- ",H279)+2,FIND("- ",H279,FIND("- ",H279)+1)-FIND("- ",H279)-2),"\&amp;quot\;.*\&amp;quot\;\W","")</f>
        <v xml:space="preserve">Devon Baxter </v>
      </c>
      <c r="D279" t="str">
        <f>VLOOKUP(SUBSTITUTE(TRIM(MID(H279,FIND(",TPE:",H279)-3,3)),"- ",""),Index!E:F,2,FALSE)</f>
        <v>Wide Receiver</v>
      </c>
      <c r="E279" t="str">
        <f t="shared" si="17"/>
        <v>S12</v>
      </c>
      <c r="F279" t="s">
        <v>253</v>
      </c>
      <c r="G279">
        <f t="shared" si="19"/>
        <v>178</v>
      </c>
      <c r="H279" t="s">
        <v>189</v>
      </c>
    </row>
    <row r="280" spans="1:8" x14ac:dyDescent="0.25">
      <c r="A280">
        <f t="shared" si="16"/>
        <v>1</v>
      </c>
      <c r="B280">
        <f t="shared" si="18"/>
        <v>10390</v>
      </c>
      <c r="C280" t="str">
        <f>[1]!RegExpSubstitute(MID(H280,FIND("- ",H280)+2,FIND("- ",H280,FIND("- ",H280)+1)-FIND("- ",H280)-2),"\&amp;quot\;.*\&amp;quot\;\W","")</f>
        <v xml:space="preserve">Spencer Lawes </v>
      </c>
      <c r="D280" t="str">
        <f>VLOOKUP(SUBSTITUTE(TRIM(MID(H280,FIND(",TPE:",H280)-3,3)),"- ",""),Index!E:F,2,FALSE)</f>
        <v>Kicker</v>
      </c>
      <c r="E280" t="str">
        <f t="shared" si="17"/>
        <v>S11</v>
      </c>
      <c r="F280" t="s">
        <v>253</v>
      </c>
      <c r="G280">
        <f t="shared" si="19"/>
        <v>110</v>
      </c>
      <c r="H280" t="s">
        <v>47</v>
      </c>
    </row>
    <row r="281" spans="1:8" x14ac:dyDescent="0.25">
      <c r="A281">
        <f t="shared" si="16"/>
        <v>1</v>
      </c>
      <c r="B281">
        <f t="shared" si="18"/>
        <v>10046</v>
      </c>
      <c r="C281" t="str">
        <f>[1]!RegExpSubstitute(MID(H281,FIND("- ",H281)+2,FIND("- ",H281,FIND("- ",H281)+1)-FIND("- ",H281)-2),"\&amp;quot\;.*\&amp;quot\;\W","")</f>
        <v xml:space="preserve">Clark Kent </v>
      </c>
      <c r="D281" t="str">
        <f>VLOOKUP(SUBSTITUTE(TRIM(MID(H281,FIND(",TPE:",H281)-3,3)),"- ",""),Index!E:F,2,FALSE)</f>
        <v>Linebacker</v>
      </c>
      <c r="E281" t="str">
        <f t="shared" si="17"/>
        <v>S11</v>
      </c>
      <c r="F281" t="s">
        <v>253</v>
      </c>
      <c r="G281">
        <f t="shared" si="19"/>
        <v>81</v>
      </c>
      <c r="H281" t="s">
        <v>48</v>
      </c>
    </row>
    <row r="282" spans="1:8" x14ac:dyDescent="0.25">
      <c r="A282">
        <f t="shared" si="16"/>
        <v>1</v>
      </c>
      <c r="B282">
        <f t="shared" si="18"/>
        <v>12839</v>
      </c>
      <c r="C282" t="str">
        <f>[1]!RegExpSubstitute(MID(H282,FIND("- ",H282)+2,FIND("- ",H282,FIND("- ",H282)+1)-FIND("- ",H282)-2),"\&amp;quot\;.*\&amp;quot\;\W","")</f>
        <v xml:space="preserve">Michael Beckham </v>
      </c>
      <c r="D282" t="str">
        <f>VLOOKUP(SUBSTITUTE(TRIM(MID(H282,FIND(",TPE:",H282)-3,3)),"- ",""),Index!E:F,2,FALSE)</f>
        <v>Linebacker</v>
      </c>
      <c r="E282" t="str">
        <f t="shared" si="17"/>
        <v>S15</v>
      </c>
      <c r="F282" t="s">
        <v>254</v>
      </c>
      <c r="G282">
        <f t="shared" si="19"/>
        <v>50</v>
      </c>
      <c r="H282" t="s">
        <v>225</v>
      </c>
    </row>
    <row r="283" spans="1:8" x14ac:dyDescent="0.25">
      <c r="A283">
        <f t="shared" si="16"/>
        <v>1</v>
      </c>
      <c r="B283">
        <f t="shared" si="18"/>
        <v>12700</v>
      </c>
      <c r="C283" t="str">
        <f>[1]!RegExpSubstitute(MID(H283,FIND("- ",H283)+2,FIND("- ",H283,FIND("- ",H283)+1)-FIND("- ",H283)-2),"\&amp;quot\;.*\&amp;quot\;\W","")</f>
        <v xml:space="preserve">Rod Tidwell </v>
      </c>
      <c r="D283" t="str">
        <f>VLOOKUP(SUBSTITUTE(TRIM(MID(H283,FIND(",TPE:",H283)-3,3)),"- ",""),Index!E:F,2,FALSE)</f>
        <v>Wide Receiver</v>
      </c>
      <c r="E283" t="str">
        <f t="shared" si="17"/>
        <v>S15</v>
      </c>
      <c r="F283" t="s">
        <v>254</v>
      </c>
      <c r="G283">
        <f t="shared" si="19"/>
        <v>141</v>
      </c>
      <c r="H283" t="s">
        <v>373</v>
      </c>
    </row>
    <row r="284" spans="1:8" x14ac:dyDescent="0.25">
      <c r="A284">
        <f t="shared" si="16"/>
        <v>1</v>
      </c>
      <c r="B284">
        <f t="shared" si="18"/>
        <v>12688</v>
      </c>
      <c r="C284" t="str">
        <f>[1]!RegExpSubstitute(MID(H284,FIND("- ",H284)+2,FIND("- ",H284,FIND("- ",H284)+1)-FIND("- ",H284)-2),"\&amp;quot\;.*\&amp;quot\;\W","")</f>
        <v xml:space="preserve">Luca Ramero </v>
      </c>
      <c r="D284" t="str">
        <f>VLOOKUP(SUBSTITUTE(TRIM(MID(H284,FIND(",TPE:",H284)-3,3)),"- ",""),Index!E:F,2,FALSE)</f>
        <v>Wide Receiver</v>
      </c>
      <c r="E284" t="str">
        <f t="shared" si="17"/>
        <v>S15</v>
      </c>
      <c r="F284" t="s">
        <v>254</v>
      </c>
      <c r="G284">
        <f t="shared" si="19"/>
        <v>50</v>
      </c>
      <c r="H284" t="s">
        <v>49</v>
      </c>
    </row>
    <row r="285" spans="1:8" x14ac:dyDescent="0.25">
      <c r="A285">
        <f t="shared" si="16"/>
        <v>1</v>
      </c>
      <c r="B285">
        <f t="shared" si="18"/>
        <v>12535</v>
      </c>
      <c r="C285" t="str">
        <f>[1]!RegExpSubstitute(MID(H285,FIND("- ",H285)+2,FIND("- ",H285,FIND("- ",H285)+1)-FIND("- ",H285)-2),"\&amp;quot\;.*\&amp;quot\;\W","")</f>
        <v xml:space="preserve">TJ Hendrix </v>
      </c>
      <c r="D285" t="str">
        <f>VLOOKUP(SUBSTITUTE(TRIM(MID(H285,FIND(",TPE:",H285)-3,3)),"- ",""),Index!E:F,2,FALSE)</f>
        <v>Quarterback</v>
      </c>
      <c r="E285" t="str">
        <f t="shared" si="17"/>
        <v>S15</v>
      </c>
      <c r="F285" t="s">
        <v>254</v>
      </c>
      <c r="G285">
        <f t="shared" si="19"/>
        <v>65</v>
      </c>
      <c r="H285" t="s">
        <v>226</v>
      </c>
    </row>
    <row r="286" spans="1:8" x14ac:dyDescent="0.25">
      <c r="A286">
        <f t="shared" si="16"/>
        <v>1</v>
      </c>
      <c r="B286">
        <f t="shared" si="18"/>
        <v>12532</v>
      </c>
      <c r="C286" t="str">
        <f>[1]!RegExpSubstitute(MID(H286,FIND("- ",H286)+2,FIND("- ",H286,FIND("- ",H286)+1)-FIND("- ",H286)-2),"\&amp;quot\;.*\&amp;quot\;\W","")</f>
        <v xml:space="preserve">Edmond Beaver-Dantes </v>
      </c>
      <c r="D286" t="str">
        <f>VLOOKUP(SUBSTITUTE(TRIM(MID(H286,FIND(",TPE:",H286)-3,3)),"- ",""),Index!E:F,2,FALSE)</f>
        <v>Offensive Line</v>
      </c>
      <c r="E286" t="str">
        <f t="shared" si="17"/>
        <v>S15</v>
      </c>
      <c r="F286" t="s">
        <v>254</v>
      </c>
      <c r="G286">
        <f t="shared" si="19"/>
        <v>141</v>
      </c>
      <c r="H286" t="s">
        <v>227</v>
      </c>
    </row>
    <row r="287" spans="1:8" x14ac:dyDescent="0.25">
      <c r="A287">
        <f t="shared" si="16"/>
        <v>1</v>
      </c>
      <c r="B287">
        <f t="shared" si="18"/>
        <v>12367</v>
      </c>
      <c r="C287" t="str">
        <f>[1]!RegExpSubstitute(MID(H287,FIND("- ",H287)+2,FIND("- ",H287,FIND("- ",H287)+1)-FIND("- ",H287)-2),"\&amp;quot\;.*\&amp;quot\;\W","")</f>
        <v xml:space="preserve">Groovy Johnson </v>
      </c>
      <c r="D287" t="str">
        <f>VLOOKUP(SUBSTITUTE(TRIM(MID(H287,FIND(",TPE:",H287)-3,3)),"- ",""),Index!E:F,2,FALSE)</f>
        <v>Cornerback</v>
      </c>
      <c r="E287" t="str">
        <f t="shared" si="17"/>
        <v>S15</v>
      </c>
      <c r="F287" t="s">
        <v>254</v>
      </c>
      <c r="G287">
        <f t="shared" si="19"/>
        <v>59</v>
      </c>
      <c r="H287" t="s">
        <v>228</v>
      </c>
    </row>
    <row r="288" spans="1:8" x14ac:dyDescent="0.25">
      <c r="A288">
        <f t="shared" si="16"/>
        <v>1</v>
      </c>
      <c r="B288">
        <f t="shared" si="18"/>
        <v>12384</v>
      </c>
      <c r="C288" t="str">
        <f>[1]!RegExpSubstitute(MID(H288,FIND("- ",H288)+2,FIND("- ",H288,FIND("- ",H288)+1)-FIND("- ",H288)-2),"\&amp;quot\;.*\&amp;quot\;\W","")</f>
        <v xml:space="preserve">Jammerson Irving </v>
      </c>
      <c r="D288" t="str">
        <f>VLOOKUP(SUBSTITUTE(TRIM(MID(H288,FIND(",TPE:",H288)-3,3)),"- ",""),Index!E:F,2,FALSE)</f>
        <v>Tight End</v>
      </c>
      <c r="E288" t="str">
        <f t="shared" si="17"/>
        <v>S15</v>
      </c>
      <c r="F288" t="s">
        <v>254</v>
      </c>
      <c r="G288">
        <f t="shared" si="19"/>
        <v>133</v>
      </c>
      <c r="H288" t="s">
        <v>374</v>
      </c>
    </row>
    <row r="289" spans="1:8" x14ac:dyDescent="0.25">
      <c r="A289">
        <f t="shared" si="16"/>
        <v>1</v>
      </c>
      <c r="B289">
        <f t="shared" si="18"/>
        <v>12413</v>
      </c>
      <c r="C289" t="str">
        <f>[1]!RegExpSubstitute(MID(H289,FIND("- ",H289)+2,FIND("- ",H289,FIND("- ",H289)+1)-FIND("- ",H289)-2),"\&amp;quot\;.*\&amp;quot\;\W","")</f>
        <v xml:space="preserve">Brave Ulysses </v>
      </c>
      <c r="D289" t="str">
        <f>VLOOKUP(SUBSTITUTE(TRIM(MID(H289,FIND(",TPE:",H289)-3,3)),"- ",""),Index!E:F,2,FALSE)</f>
        <v>Offensive Line</v>
      </c>
      <c r="E289" t="str">
        <f t="shared" si="17"/>
        <v>S15</v>
      </c>
      <c r="F289" t="s">
        <v>254</v>
      </c>
      <c r="G289">
        <f t="shared" si="19"/>
        <v>149</v>
      </c>
      <c r="H289" t="s">
        <v>375</v>
      </c>
    </row>
    <row r="290" spans="1:8" x14ac:dyDescent="0.25">
      <c r="A290">
        <f t="shared" si="16"/>
        <v>1</v>
      </c>
      <c r="B290">
        <f t="shared" si="18"/>
        <v>12371</v>
      </c>
      <c r="C290" t="str">
        <f>[1]!RegExpSubstitute(MID(H290,FIND("- ",H290)+2,FIND("- ",H290,FIND("- ",H290)+1)-FIND("- ",H290)-2),"\&amp;quot\;.*\&amp;quot\;\W","")</f>
        <v xml:space="preserve">Carlomagno Rey </v>
      </c>
      <c r="D290" t="str">
        <f>VLOOKUP(SUBSTITUTE(TRIM(MID(H290,FIND(",TPE:",H290)-3,3)),"- ",""),Index!E:F,2,FALSE)</f>
        <v>Wide Receiver</v>
      </c>
      <c r="E290" t="str">
        <f t="shared" si="17"/>
        <v>S15</v>
      </c>
      <c r="F290" t="s">
        <v>254</v>
      </c>
      <c r="G290">
        <f t="shared" si="19"/>
        <v>62</v>
      </c>
      <c r="H290" t="s">
        <v>229</v>
      </c>
    </row>
    <row r="291" spans="1:8" x14ac:dyDescent="0.25">
      <c r="A291">
        <f t="shared" si="16"/>
        <v>1</v>
      </c>
      <c r="B291">
        <f t="shared" si="18"/>
        <v>12127</v>
      </c>
      <c r="C291" t="str">
        <f>[1]!RegExpSubstitute(MID(H291,FIND("- ",H291)+2,FIND("- ",H291,FIND("- ",H291)+1)-FIND("- ",H291)-2),"\&amp;quot\;.*\&amp;quot\;\W","")</f>
        <v xml:space="preserve">Trey Moffat </v>
      </c>
      <c r="D291" t="str">
        <f>VLOOKUP(SUBSTITUTE(TRIM(MID(H291,FIND(",TPE:",H291)-3,3)),"- ",""),Index!E:F,2,FALSE)</f>
        <v>Runningback</v>
      </c>
      <c r="E291" t="str">
        <f t="shared" si="17"/>
        <v>S15</v>
      </c>
      <c r="F291" t="s">
        <v>254</v>
      </c>
      <c r="G291">
        <f t="shared" si="19"/>
        <v>50</v>
      </c>
      <c r="H291" t="s">
        <v>50</v>
      </c>
    </row>
    <row r="292" spans="1:8" x14ac:dyDescent="0.25">
      <c r="A292">
        <f t="shared" si="16"/>
        <v>1</v>
      </c>
      <c r="B292">
        <f t="shared" si="18"/>
        <v>12170</v>
      </c>
      <c r="C292" t="str">
        <f>[1]!RegExpSubstitute(MID(H292,FIND("- ",H292)+2,FIND("- ",H292,FIND("- ",H292)+1)-FIND("- ",H292)-2),"\&amp;quot\;.*\&amp;quot\;\W","")</f>
        <v xml:space="preserve">Jacob Rowan </v>
      </c>
      <c r="D292" t="str">
        <f>VLOOKUP(SUBSTITUTE(TRIM(MID(H292,FIND(",TPE:",H292)-3,3)),"- ",""),Index!E:F,2,FALSE)</f>
        <v>Offensive Line</v>
      </c>
      <c r="E292" t="str">
        <f t="shared" si="17"/>
        <v>S15</v>
      </c>
      <c r="F292" t="s">
        <v>254</v>
      </c>
      <c r="G292">
        <f t="shared" si="19"/>
        <v>72</v>
      </c>
      <c r="H292" t="s">
        <v>230</v>
      </c>
    </row>
    <row r="293" spans="1:8" x14ac:dyDescent="0.25">
      <c r="A293">
        <f t="shared" si="16"/>
        <v>1</v>
      </c>
      <c r="B293">
        <f t="shared" si="18"/>
        <v>12260</v>
      </c>
      <c r="C293" t="str">
        <f>[1]!RegExpSubstitute(MID(H293,FIND("- ",H293)+2,FIND("- ",H293,FIND("- ",H293)+1)-FIND("- ",H293)-2),"\&amp;quot\;.*\&amp;quot\;\W","")</f>
        <v xml:space="preserve">Forrest Gump </v>
      </c>
      <c r="D293" t="str">
        <f>VLOOKUP(SUBSTITUTE(TRIM(MID(H293,FIND(",TPE:",H293)-3,3)),"- ",""),Index!E:F,2,FALSE)</f>
        <v>Runningback</v>
      </c>
      <c r="E293" t="str">
        <f t="shared" si="17"/>
        <v>S15</v>
      </c>
      <c r="F293" t="s">
        <v>254</v>
      </c>
      <c r="G293">
        <f t="shared" si="19"/>
        <v>139</v>
      </c>
      <c r="H293" t="s">
        <v>376</v>
      </c>
    </row>
    <row r="294" spans="1:8" x14ac:dyDescent="0.25">
      <c r="A294">
        <f t="shared" si="16"/>
        <v>1</v>
      </c>
      <c r="B294">
        <f t="shared" si="18"/>
        <v>12255</v>
      </c>
      <c r="C294" t="str">
        <f>[1]!RegExpSubstitute(MID(H294,FIND("- ",H294)+2,FIND("- ",H294,FIND("- ",H294)+1)-FIND("- ",H294)-2),"\&amp;quot\;.*\&amp;quot\;\W","")</f>
        <v xml:space="preserve">Momodou Jallow </v>
      </c>
      <c r="D294" t="str">
        <f>VLOOKUP(SUBSTITUTE(TRIM(MID(H294,FIND(",TPE:",H294)-3,3)),"- ",""),Index!E:F,2,FALSE)</f>
        <v>Safety</v>
      </c>
      <c r="E294" t="str">
        <f t="shared" si="17"/>
        <v>S15</v>
      </c>
      <c r="F294" t="s">
        <v>254</v>
      </c>
      <c r="G294">
        <f t="shared" si="19"/>
        <v>83</v>
      </c>
      <c r="H294" t="s">
        <v>377</v>
      </c>
    </row>
    <row r="295" spans="1:8" x14ac:dyDescent="0.25">
      <c r="A295">
        <f t="shared" si="16"/>
        <v>1</v>
      </c>
      <c r="B295">
        <f t="shared" si="18"/>
        <v>12196</v>
      </c>
      <c r="C295" t="str">
        <f>[1]!RegExpSubstitute(MID(H295,FIND("- ",H295)+2,FIND("- ",H295,FIND("- ",H295)+1)-FIND("- ",H295)-2),"\&amp;quot\;.*\&amp;quot\;\W","")</f>
        <v xml:space="preserve">Bill Inohi </v>
      </c>
      <c r="D295" t="str">
        <f>VLOOKUP(SUBSTITUTE(TRIM(MID(H295,FIND(",TPE:",H295)-3,3)),"- ",""),Index!E:F,2,FALSE)</f>
        <v>Defensive Line</v>
      </c>
      <c r="E295" t="str">
        <f t="shared" si="17"/>
        <v>S15</v>
      </c>
      <c r="F295" t="s">
        <v>254</v>
      </c>
      <c r="G295">
        <f t="shared" si="19"/>
        <v>59</v>
      </c>
      <c r="H295" t="s">
        <v>231</v>
      </c>
    </row>
    <row r="296" spans="1:8" x14ac:dyDescent="0.25">
      <c r="A296">
        <f t="shared" si="16"/>
        <v>1</v>
      </c>
      <c r="B296">
        <f t="shared" si="18"/>
        <v>12175</v>
      </c>
      <c r="C296" t="str">
        <f>[1]!RegExpSubstitute(MID(H296,FIND("- ",H296)+2,FIND("- ",H296,FIND("- ",H296)+1)-FIND("- ",H296)-2),"\&amp;quot\;.*\&amp;quot\;\W","")</f>
        <v xml:space="preserve">Martavius Mack </v>
      </c>
      <c r="D296" t="str">
        <f>VLOOKUP(SUBSTITUTE(TRIM(MID(H296,FIND(",TPE:",H296)-3,3)),"- ",""),Index!E:F,2,FALSE)</f>
        <v>Safety</v>
      </c>
      <c r="E296" t="str">
        <f t="shared" si="17"/>
        <v>S15</v>
      </c>
      <c r="F296" t="s">
        <v>254</v>
      </c>
      <c r="G296">
        <f t="shared" si="19"/>
        <v>74</v>
      </c>
      <c r="H296" t="s">
        <v>232</v>
      </c>
    </row>
    <row r="297" spans="1:8" x14ac:dyDescent="0.25">
      <c r="A297">
        <f t="shared" si="16"/>
        <v>1</v>
      </c>
      <c r="B297">
        <f t="shared" si="18"/>
        <v>12165</v>
      </c>
      <c r="C297" t="str">
        <f>[1]!RegExpSubstitute(MID(H297,FIND("- ",H297)+2,FIND("- ",H297,FIND("- ",H297)+1)-FIND("- ",H297)-2),"\&amp;quot\;.*\&amp;quot\;\W","")</f>
        <v xml:space="preserve">Troy Humuhumunukunukuāpuaʻa </v>
      </c>
      <c r="D297" t="str">
        <f>VLOOKUP(SUBSTITUTE(TRIM(MID(H297,FIND(",TPE:",H297)-3,3)),"- ",""),Index!E:F,2,FALSE)</f>
        <v>Safety</v>
      </c>
      <c r="E297" t="str">
        <f t="shared" si="17"/>
        <v>S15</v>
      </c>
      <c r="F297" t="s">
        <v>254</v>
      </c>
      <c r="G297">
        <f t="shared" si="19"/>
        <v>134</v>
      </c>
      <c r="H297" t="s">
        <v>378</v>
      </c>
    </row>
    <row r="298" spans="1:8" x14ac:dyDescent="0.25">
      <c r="A298">
        <f t="shared" si="16"/>
        <v>1</v>
      </c>
      <c r="B298">
        <f t="shared" si="18"/>
        <v>12061</v>
      </c>
      <c r="C298" t="str">
        <f>[1]!RegExpSubstitute(MID(H298,FIND("- ",H298)+2,FIND("- ",H298,FIND("- ",H298)+1)-FIND("- ",H298)-2),"\&amp;quot\;.*\&amp;quot\;\W","")</f>
        <v xml:space="preserve">Lo Mein </v>
      </c>
      <c r="D298" t="str">
        <f>VLOOKUP(SUBSTITUTE(TRIM(MID(H298,FIND(",TPE:",H298)-3,3)),"- ",""),Index!E:F,2,FALSE)</f>
        <v>Defensive Line</v>
      </c>
      <c r="E298" t="str">
        <f t="shared" si="17"/>
        <v>S15</v>
      </c>
      <c r="F298" t="s">
        <v>254</v>
      </c>
      <c r="G298">
        <f t="shared" si="19"/>
        <v>78</v>
      </c>
      <c r="H298" t="s">
        <v>379</v>
      </c>
    </row>
    <row r="299" spans="1:8" x14ac:dyDescent="0.25">
      <c r="A299">
        <f t="shared" si="16"/>
        <v>1</v>
      </c>
      <c r="B299">
        <f t="shared" si="18"/>
        <v>12022</v>
      </c>
      <c r="C299" t="str">
        <f>[1]!RegExpSubstitute(MID(H299,FIND("- ",H299)+2,FIND("- ",H299,FIND("- ",H299)+1)-FIND("- ",H299)-2),"\&amp;quot\;.*\&amp;quot\;\W","")</f>
        <v xml:space="preserve">Troy Bryant </v>
      </c>
      <c r="D299" t="str">
        <f>VLOOKUP(SUBSTITUTE(TRIM(MID(H299,FIND(",TPE:",H299)-3,3)),"- ",""),Index!E:F,2,FALSE)</f>
        <v>Cornerback</v>
      </c>
      <c r="E299" t="str">
        <f t="shared" si="17"/>
        <v>S15</v>
      </c>
      <c r="F299" t="s">
        <v>254</v>
      </c>
      <c r="G299">
        <f t="shared" si="19"/>
        <v>57</v>
      </c>
      <c r="H299" t="s">
        <v>51</v>
      </c>
    </row>
    <row r="300" spans="1:8" x14ac:dyDescent="0.25">
      <c r="A300">
        <f t="shared" si="16"/>
        <v>1</v>
      </c>
      <c r="B300">
        <f t="shared" si="18"/>
        <v>12011</v>
      </c>
      <c r="C300" t="str">
        <f>[1]!RegExpSubstitute(MID(H300,FIND("- ",H300)+2,FIND("- ",H300,FIND("- ",H300)+1)-FIND("- ",H300)-2),"\&amp;quot\;.*\&amp;quot\;\W","")</f>
        <v xml:space="preserve">Johnny Slothface </v>
      </c>
      <c r="D300" t="str">
        <f>VLOOKUP(SUBSTITUTE(TRIM(MID(H300,FIND(",TPE:",H300)-3,3)),"- ",""),Index!E:F,2,FALSE)</f>
        <v>Linebacker</v>
      </c>
      <c r="E300" t="str">
        <f t="shared" si="17"/>
        <v>S15</v>
      </c>
      <c r="F300" t="s">
        <v>254</v>
      </c>
      <c r="G300">
        <f t="shared" si="19"/>
        <v>186</v>
      </c>
      <c r="H300" t="s">
        <v>380</v>
      </c>
    </row>
    <row r="301" spans="1:8" x14ac:dyDescent="0.25">
      <c r="A301">
        <f t="shared" si="16"/>
        <v>1</v>
      </c>
      <c r="B301">
        <f t="shared" si="18"/>
        <v>11980</v>
      </c>
      <c r="C301" t="str">
        <f>[1]!RegExpSubstitute(MID(H301,FIND("- ",H301)+2,FIND("- ",H301,FIND("- ",H301)+1)-FIND("- ",H301)-2),"\&amp;quot\;.*\&amp;quot\;\W","")</f>
        <v xml:space="preserve">JoJo Burr-Kirven </v>
      </c>
      <c r="D301" t="str">
        <f>VLOOKUP(SUBSTITUTE(TRIM(MID(H301,FIND(",TPE:",H301)-3,3)),"- ",""),Index!E:F,2,FALSE)</f>
        <v>Linebacker</v>
      </c>
      <c r="E301" t="str">
        <f t="shared" si="17"/>
        <v>S15</v>
      </c>
      <c r="F301" t="s">
        <v>254</v>
      </c>
      <c r="G301">
        <f t="shared" si="19"/>
        <v>113</v>
      </c>
      <c r="H301" t="s">
        <v>381</v>
      </c>
    </row>
    <row r="302" spans="1:8" x14ac:dyDescent="0.25">
      <c r="A302">
        <f t="shared" si="16"/>
        <v>1</v>
      </c>
      <c r="B302">
        <f t="shared" si="18"/>
        <v>11785</v>
      </c>
      <c r="C302" t="str">
        <f>[1]!RegExpSubstitute(MID(H302,FIND("- ",H302)+2,FIND("- ",H302,FIND("- ",H302)+1)-FIND("- ",H302)-2),"\&amp;quot\;.*\&amp;quot\;\W","")</f>
        <v xml:space="preserve">Dingus Hunk </v>
      </c>
      <c r="D302" t="str">
        <f>VLOOKUP(SUBSTITUTE(TRIM(MID(H302,FIND(",TPE:",H302)-3,3)),"- ",""),Index!E:F,2,FALSE)</f>
        <v>Defensive Line</v>
      </c>
      <c r="E302" t="str">
        <f t="shared" si="17"/>
        <v>S14</v>
      </c>
      <c r="F302" t="s">
        <v>254</v>
      </c>
      <c r="G302">
        <f t="shared" si="19"/>
        <v>82</v>
      </c>
      <c r="H302" t="s">
        <v>52</v>
      </c>
    </row>
    <row r="303" spans="1:8" x14ac:dyDescent="0.25">
      <c r="A303">
        <f t="shared" si="16"/>
        <v>1</v>
      </c>
      <c r="B303">
        <f t="shared" si="18"/>
        <v>11735</v>
      </c>
      <c r="C303" t="str">
        <f>[1]!RegExpSubstitute(MID(H303,FIND("- ",H303)+2,FIND("- ",H303,FIND("- ",H303)+1)-FIND("- ",H303)-2),"\&amp;quot\;.*\&amp;quot\;\W","")</f>
        <v xml:space="preserve">Brett Tacony </v>
      </c>
      <c r="D303" t="str">
        <f>VLOOKUP(SUBSTITUTE(TRIM(MID(H303,FIND(",TPE:",H303)-3,3)),"- ",""),Index!E:F,2,FALSE)</f>
        <v>Wide Receiver</v>
      </c>
      <c r="E303" t="str">
        <f t="shared" si="17"/>
        <v>S14</v>
      </c>
      <c r="F303" t="s">
        <v>254</v>
      </c>
      <c r="G303">
        <f t="shared" si="19"/>
        <v>57</v>
      </c>
      <c r="H303" t="s">
        <v>53</v>
      </c>
    </row>
    <row r="304" spans="1:8" x14ac:dyDescent="0.25">
      <c r="A304">
        <f t="shared" si="16"/>
        <v>1</v>
      </c>
      <c r="B304">
        <f t="shared" si="18"/>
        <v>11652</v>
      </c>
      <c r="C304" t="str">
        <f>[1]!RegExpSubstitute(MID(H304,FIND("- ",H304)+2,FIND("- ",H304,FIND("- ",H304)+1)-FIND("- ",H304)-2),"\&amp;quot\;.*\&amp;quot\;\W","")</f>
        <v xml:space="preserve">Stephen Harris Jr </v>
      </c>
      <c r="D304" t="str">
        <f>VLOOKUP(SUBSTITUTE(TRIM(MID(H304,FIND(",TPE:",H304)-3,3)),"- ",""),Index!E:F,2,FALSE)</f>
        <v>Kicker</v>
      </c>
      <c r="E304" t="str">
        <f t="shared" si="17"/>
        <v>S14</v>
      </c>
      <c r="F304" t="s">
        <v>254</v>
      </c>
      <c r="G304">
        <f t="shared" si="19"/>
        <v>131</v>
      </c>
      <c r="H304" t="s">
        <v>54</v>
      </c>
    </row>
    <row r="305" spans="1:8" x14ac:dyDescent="0.25">
      <c r="A305">
        <f t="shared" si="16"/>
        <v>1</v>
      </c>
      <c r="B305">
        <f t="shared" si="18"/>
        <v>11597</v>
      </c>
      <c r="C305" t="str">
        <f>[1]!RegExpSubstitute(MID(H305,FIND("- ",H305)+2,FIND("- ",H305,FIND("- ",H305)+1)-FIND("- ",H305)-2),"\&amp;quot\;.*\&amp;quot\;\W","")</f>
        <v xml:space="preserve">Corvo Havran </v>
      </c>
      <c r="D305" t="str">
        <f>VLOOKUP(SUBSTITUTE(TRIM(MID(H305,FIND(",TPE:",H305)-3,3)),"- ",""),Index!E:F,2,FALSE)</f>
        <v>Quarterback</v>
      </c>
      <c r="E305" t="str">
        <f t="shared" si="17"/>
        <v>S14</v>
      </c>
      <c r="F305" t="s">
        <v>254</v>
      </c>
      <c r="G305">
        <f t="shared" si="19"/>
        <v>357</v>
      </c>
      <c r="H305" t="s">
        <v>382</v>
      </c>
    </row>
    <row r="306" spans="1:8" x14ac:dyDescent="0.25">
      <c r="A306">
        <f t="shared" si="16"/>
        <v>1</v>
      </c>
      <c r="B306">
        <f t="shared" si="18"/>
        <v>11500</v>
      </c>
      <c r="C306" t="str">
        <f>[1]!RegExpSubstitute(MID(H306,FIND("- ",H306)+2,FIND("- ",H306,FIND("- ",H306)+1)-FIND("- ",H306)-2),"\&amp;quot\;.*\&amp;quot\;\W","")</f>
        <v xml:space="preserve">Kyle Frost </v>
      </c>
      <c r="D306" t="str">
        <f>VLOOKUP(SUBSTITUTE(TRIM(MID(H306,FIND(",TPE:",H306)-3,3)),"- ",""),Index!E:F,2,FALSE)</f>
        <v>Kicker</v>
      </c>
      <c r="E306" t="str">
        <f t="shared" si="17"/>
        <v>S13</v>
      </c>
      <c r="F306" t="s">
        <v>254</v>
      </c>
      <c r="G306">
        <f t="shared" si="19"/>
        <v>74</v>
      </c>
      <c r="H306" t="s">
        <v>55</v>
      </c>
    </row>
    <row r="307" spans="1:8" x14ac:dyDescent="0.25">
      <c r="A307">
        <f t="shared" si="16"/>
        <v>1</v>
      </c>
      <c r="B307">
        <f t="shared" si="18"/>
        <v>11150</v>
      </c>
      <c r="C307" t="str">
        <f>[1]!RegExpSubstitute(MID(H307,FIND("- ",H307)+2,FIND("- ",H307,FIND("- ",H307)+1)-FIND("- ",H307)-2),"\&amp;quot\;.*\&amp;quot\;\W","")</f>
        <v xml:space="preserve">Dick Cheese Jr. </v>
      </c>
      <c r="D307" t="str">
        <f>VLOOKUP(SUBSTITUTE(TRIM(MID(H307,FIND(",TPE:",H307)-3,3)),"- ",""),Index!E:F,2,FALSE)</f>
        <v>Linebacker</v>
      </c>
      <c r="E307" t="str">
        <f t="shared" si="17"/>
        <v>S13</v>
      </c>
      <c r="F307" t="s">
        <v>254</v>
      </c>
      <c r="G307">
        <f t="shared" si="19"/>
        <v>99</v>
      </c>
      <c r="H307" t="s">
        <v>56</v>
      </c>
    </row>
    <row r="308" spans="1:8" x14ac:dyDescent="0.25">
      <c r="A308">
        <f t="shared" si="16"/>
        <v>1</v>
      </c>
      <c r="B308">
        <f t="shared" si="18"/>
        <v>10787</v>
      </c>
      <c r="C308" t="str">
        <f>[1]!RegExpSubstitute(MID(H308,FIND("- ",H308)+2,FIND("- ",H308,FIND("- ",H308)+1)-FIND("- ",H308)-2),"\&amp;quot\;.*\&amp;quot\;\W","")</f>
        <v xml:space="preserve">CJ Henderson </v>
      </c>
      <c r="D308" t="str">
        <f>VLOOKUP(SUBSTITUTE(TRIM(MID(H308,FIND(",TPE:",H308)-3,3)),"- ",""),Index!E:F,2,FALSE)</f>
        <v>Cornerback</v>
      </c>
      <c r="E308" t="str">
        <f t="shared" si="17"/>
        <v>S12</v>
      </c>
      <c r="F308" t="s">
        <v>254</v>
      </c>
      <c r="G308">
        <f t="shared" si="19"/>
        <v>81</v>
      </c>
      <c r="H308" t="s">
        <v>57</v>
      </c>
    </row>
    <row r="309" spans="1:8" x14ac:dyDescent="0.25">
      <c r="A309">
        <f t="shared" si="16"/>
        <v>1</v>
      </c>
      <c r="B309">
        <f t="shared" si="18"/>
        <v>10632</v>
      </c>
      <c r="C309" t="str">
        <f>[1]!RegExpSubstitute(MID(H309,FIND("- ",H309)+2,FIND("- ",H309,FIND("- ",H309)+1)-FIND("- ",H309)-2),"\&amp;quot\;.*\&amp;quot\;\W","")</f>
        <v xml:space="preserve">Daniel Amon </v>
      </c>
      <c r="D309" t="str">
        <f>VLOOKUP(SUBSTITUTE(TRIM(MID(H309,FIND(",TPE:",H309)-3,3)),"- ",""),Index!E:F,2,FALSE)</f>
        <v>Quarterback</v>
      </c>
      <c r="E309" t="str">
        <f t="shared" si="17"/>
        <v>S12</v>
      </c>
      <c r="F309" t="s">
        <v>254</v>
      </c>
      <c r="G309">
        <f t="shared" si="19"/>
        <v>61</v>
      </c>
      <c r="H309" t="s">
        <v>58</v>
      </c>
    </row>
    <row r="310" spans="1:8" x14ac:dyDescent="0.25">
      <c r="A310">
        <f t="shared" si="16"/>
        <v>1</v>
      </c>
      <c r="B310">
        <f t="shared" si="18"/>
        <v>10617</v>
      </c>
      <c r="C310" t="str">
        <f>[1]!RegExpSubstitute(MID(H310,FIND("- ",H310)+2,FIND("- ",H310,FIND("- ",H310)+1)-FIND("- ",H310)-2),"\&amp;quot\;.*\&amp;quot\;\W","")</f>
        <v xml:space="preserve">Thomas Nova </v>
      </c>
      <c r="D310" t="str">
        <f>VLOOKUP(SUBSTITUTE(TRIM(MID(H310,FIND(",TPE:",H310)-3,3)),"- ",""),Index!E:F,2,FALSE)</f>
        <v>Wide Receiver</v>
      </c>
      <c r="E310" t="str">
        <f t="shared" si="17"/>
        <v>S12</v>
      </c>
      <c r="F310" t="s">
        <v>254</v>
      </c>
      <c r="G310">
        <f t="shared" si="19"/>
        <v>50</v>
      </c>
      <c r="H310" t="s">
        <v>59</v>
      </c>
    </row>
    <row r="311" spans="1:8" x14ac:dyDescent="0.25">
      <c r="A311">
        <f t="shared" si="16"/>
        <v>1</v>
      </c>
      <c r="B311">
        <f t="shared" si="18"/>
        <v>10182</v>
      </c>
      <c r="C311" t="str">
        <f>[1]!RegExpSubstitute(MID(H311,FIND("- ",H311)+2,FIND("- ",H311,FIND("- ",H311)+1)-FIND("- ",H311)-2),"\&amp;quot\;.*\&amp;quot\;\W","")</f>
        <v xml:space="preserve">Zoro Roronoa </v>
      </c>
      <c r="D311" t="str">
        <f>VLOOKUP(SUBSTITUTE(TRIM(MID(H311,FIND(",TPE:",H311)-3,3)),"- ",""),Index!E:F,2,FALSE)</f>
        <v>Runningback</v>
      </c>
      <c r="E311" t="str">
        <f t="shared" si="17"/>
        <v>S11</v>
      </c>
      <c r="F311" t="s">
        <v>254</v>
      </c>
      <c r="G311">
        <f t="shared" si="19"/>
        <v>168</v>
      </c>
      <c r="H311" t="s">
        <v>61</v>
      </c>
    </row>
    <row r="312" spans="1:8" x14ac:dyDescent="0.25">
      <c r="A312">
        <f t="shared" si="16"/>
        <v>1</v>
      </c>
      <c r="B312">
        <f t="shared" si="18"/>
        <v>10072</v>
      </c>
      <c r="C312" t="str">
        <f>[1]!RegExpSubstitute(MID(H312,FIND("- ",H312)+2,FIND("- ",H312,FIND("- ",H312)+1)-FIND("- ",H312)-2),"\&amp;quot\;.*\&amp;quot\;\W","")</f>
        <v xml:space="preserve">Berrell Trister </v>
      </c>
      <c r="D312" t="str">
        <f>VLOOKUP(SUBSTITUTE(TRIM(MID(H312,FIND(",TPE:",H312)-3,3)),"- ",""),Index!E:F,2,FALSE)</f>
        <v>Wide Receiver</v>
      </c>
      <c r="E312" t="str">
        <f t="shared" si="17"/>
        <v>S11</v>
      </c>
      <c r="F312" t="s">
        <v>254</v>
      </c>
      <c r="G312">
        <f t="shared" si="19"/>
        <v>67</v>
      </c>
      <c r="H312" t="s">
        <v>62</v>
      </c>
    </row>
    <row r="313" spans="1:8" x14ac:dyDescent="0.25">
      <c r="A313">
        <f t="shared" si="16"/>
        <v>1</v>
      </c>
      <c r="B313">
        <f t="shared" si="18"/>
        <v>12919</v>
      </c>
      <c r="C313" t="str">
        <f>[1]!RegExpSubstitute(MID(H313,FIND("- ",H313)+2,FIND("- ",H313,FIND("- ",H313)+1)-FIND("- ",H313)-2),"\&amp;quot\;.*\&amp;quot\;\W","")</f>
        <v xml:space="preserve">Lenard Marx </v>
      </c>
      <c r="D313" t="str">
        <f>VLOOKUP(SUBSTITUTE(TRIM(MID(H313,FIND(",TPE:",H313)-3,3)),"- ",""),Index!E:F,2,FALSE)</f>
        <v>Wide Receiver</v>
      </c>
      <c r="E313" t="str">
        <f t="shared" si="17"/>
        <v>S15</v>
      </c>
      <c r="F313" t="s">
        <v>255</v>
      </c>
      <c r="G313">
        <f t="shared" si="19"/>
        <v>50</v>
      </c>
      <c r="H313" t="s">
        <v>383</v>
      </c>
    </row>
    <row r="314" spans="1:8" x14ac:dyDescent="0.25">
      <c r="A314">
        <f t="shared" si="16"/>
        <v>1</v>
      </c>
      <c r="B314">
        <f t="shared" si="18"/>
        <v>12676</v>
      </c>
      <c r="C314" t="str">
        <f>[1]!RegExpSubstitute(MID(H314,FIND("- ",H314)+2,FIND("- ",H314,FIND("- ",H314)+1)-FIND("- ",H314)-2),"\&amp;quot\;.*\&amp;quot\;\W","")</f>
        <v xml:space="preserve">Deon Taylor </v>
      </c>
      <c r="D314" t="str">
        <f>VLOOKUP(SUBSTITUTE(TRIM(MID(H314,FIND(",TPE:",H314)-3,3)),"- ",""),Index!E:F,2,FALSE)</f>
        <v>Cornerback</v>
      </c>
      <c r="E314" t="str">
        <f t="shared" si="17"/>
        <v>S15</v>
      </c>
      <c r="F314" t="s">
        <v>255</v>
      </c>
      <c r="G314">
        <f t="shared" si="19"/>
        <v>104</v>
      </c>
      <c r="H314" t="s">
        <v>384</v>
      </c>
    </row>
    <row r="315" spans="1:8" x14ac:dyDescent="0.25">
      <c r="A315">
        <f t="shared" si="16"/>
        <v>1</v>
      </c>
      <c r="B315">
        <f t="shared" si="18"/>
        <v>12395</v>
      </c>
      <c r="C315" t="str">
        <f>[1]!RegExpSubstitute(MID(H315,FIND("- ",H315)+2,FIND("- ",H315,FIND("- ",H315)+1)-FIND("- ",H315)-2),"\&amp;quot\;.*\&amp;quot\;\W","")</f>
        <v xml:space="preserve">Michael Rood </v>
      </c>
      <c r="D315" t="str">
        <f>VLOOKUP(SUBSTITUTE(TRIM(MID(H315,FIND(",TPE:",H315)-3,3)),"- ",""),Index!E:F,2,FALSE)</f>
        <v>Tight End</v>
      </c>
      <c r="E315" t="str">
        <f t="shared" si="17"/>
        <v>S15</v>
      </c>
      <c r="F315" t="s">
        <v>255</v>
      </c>
      <c r="G315">
        <f t="shared" si="19"/>
        <v>112</v>
      </c>
      <c r="H315" t="s">
        <v>385</v>
      </c>
    </row>
    <row r="316" spans="1:8" x14ac:dyDescent="0.25">
      <c r="A316">
        <f t="shared" si="16"/>
        <v>1</v>
      </c>
      <c r="B316">
        <f t="shared" si="18"/>
        <v>12396</v>
      </c>
      <c r="C316" t="str">
        <f>[1]!RegExpSubstitute(MID(H316,FIND("- ",H316)+2,FIND("- ",H316,FIND("- ",H316)+1)-FIND("- ",H316)-2),"\&amp;quot\;.*\&amp;quot\;\W","")</f>
        <v xml:space="preserve">Apollo Lange </v>
      </c>
      <c r="D316" t="str">
        <f>VLOOKUP(SUBSTITUTE(TRIM(MID(H316,FIND(",TPE:",H316)-3,3)),"- ",""),Index!E:F,2,FALSE)</f>
        <v>Quarterback</v>
      </c>
      <c r="E316" t="str">
        <f t="shared" si="17"/>
        <v>S15</v>
      </c>
      <c r="F316" t="s">
        <v>255</v>
      </c>
      <c r="G316">
        <f t="shared" si="19"/>
        <v>129</v>
      </c>
      <c r="H316" t="s">
        <v>386</v>
      </c>
    </row>
    <row r="317" spans="1:8" x14ac:dyDescent="0.25">
      <c r="A317">
        <f t="shared" si="16"/>
        <v>1</v>
      </c>
      <c r="B317">
        <f t="shared" si="18"/>
        <v>12417</v>
      </c>
      <c r="C317" t="str">
        <f>[1]!RegExpSubstitute(MID(H317,FIND("- ",H317)+2,FIND("- ",H317,FIND("- ",H317)+1)-FIND("- ",H317)-2),"\&amp;quot\;.*\&amp;quot\;\W","")</f>
        <v xml:space="preserve">Jameis Harrison </v>
      </c>
      <c r="D317" t="str">
        <f>VLOOKUP(SUBSTITUTE(TRIM(MID(H317,FIND(",TPE:",H317)-3,3)),"- ",""),Index!E:F,2,FALSE)</f>
        <v>Linebacker</v>
      </c>
      <c r="E317" t="str">
        <f t="shared" si="17"/>
        <v>S15</v>
      </c>
      <c r="F317" t="s">
        <v>255</v>
      </c>
      <c r="G317">
        <f t="shared" si="19"/>
        <v>50</v>
      </c>
      <c r="H317" t="s">
        <v>22</v>
      </c>
    </row>
    <row r="318" spans="1:8" x14ac:dyDescent="0.25">
      <c r="A318">
        <f t="shared" si="16"/>
        <v>1</v>
      </c>
      <c r="B318">
        <f t="shared" si="18"/>
        <v>12318</v>
      </c>
      <c r="C318" t="str">
        <f>[1]!RegExpSubstitute(MID(H318,FIND("- ",H318)+2,FIND("- ",H318,FIND("- ",H318)+1)-FIND("- ",H318)-2),"\&amp;quot\;.*\&amp;quot\;\W","")</f>
        <v xml:space="preserve">Rock Hardshaft </v>
      </c>
      <c r="D318" t="str">
        <f>VLOOKUP(SUBSTITUTE(TRIM(MID(H318,FIND(",TPE:",H318)-3,3)),"- ",""),Index!E:F,2,FALSE)</f>
        <v>Linebacker</v>
      </c>
      <c r="E318" t="str">
        <f t="shared" si="17"/>
        <v>S15</v>
      </c>
      <c r="F318" t="s">
        <v>255</v>
      </c>
      <c r="G318">
        <f t="shared" si="19"/>
        <v>119</v>
      </c>
      <c r="H318" t="s">
        <v>387</v>
      </c>
    </row>
    <row r="319" spans="1:8" x14ac:dyDescent="0.25">
      <c r="A319">
        <f t="shared" si="16"/>
        <v>1</v>
      </c>
      <c r="B319">
        <f t="shared" si="18"/>
        <v>12282</v>
      </c>
      <c r="C319" t="str">
        <f>[1]!RegExpSubstitute(MID(H319,FIND("- ",H319)+2,FIND("- ",H319,FIND("- ",H319)+1)-FIND("- ",H319)-2),"\&amp;quot\;.*\&amp;quot\;\W","")</f>
        <v xml:space="preserve">Quentin Sinclair </v>
      </c>
      <c r="D319" t="str">
        <f>VLOOKUP(SUBSTITUTE(TRIM(MID(H319,FIND(",TPE:",H319)-3,3)),"- ",""),Index!E:F,2,FALSE)</f>
        <v>Safety</v>
      </c>
      <c r="E319" t="str">
        <f t="shared" si="17"/>
        <v>S15</v>
      </c>
      <c r="F319" t="s">
        <v>255</v>
      </c>
      <c r="G319">
        <f t="shared" si="19"/>
        <v>108</v>
      </c>
      <c r="H319" t="s">
        <v>388</v>
      </c>
    </row>
    <row r="320" spans="1:8" x14ac:dyDescent="0.25">
      <c r="A320">
        <f t="shared" si="16"/>
        <v>1</v>
      </c>
      <c r="B320">
        <f t="shared" si="18"/>
        <v>12281</v>
      </c>
      <c r="C320" t="str">
        <f>[1]!RegExpSubstitute(MID(H320,FIND("- ",H320)+2,FIND("- ",H320,FIND("- ",H320)+1)-FIND("- ",H320)-2),"\&amp;quot\;.*\&amp;quot\;\W","")</f>
        <v xml:space="preserve">Ludicolo Bigby </v>
      </c>
      <c r="D320" t="str">
        <f>VLOOKUP(SUBSTITUTE(TRIM(MID(H320,FIND(",TPE:",H320)-3,3)),"- ",""),Index!E:F,2,FALSE)</f>
        <v>Runningback</v>
      </c>
      <c r="E320" t="str">
        <f t="shared" si="17"/>
        <v>S15</v>
      </c>
      <c r="F320" t="s">
        <v>255</v>
      </c>
      <c r="G320">
        <f t="shared" si="19"/>
        <v>98</v>
      </c>
      <c r="H320" t="s">
        <v>389</v>
      </c>
    </row>
    <row r="321" spans="1:8" x14ac:dyDescent="0.25">
      <c r="A321">
        <f t="shared" si="16"/>
        <v>1</v>
      </c>
      <c r="B321">
        <f t="shared" si="18"/>
        <v>12275</v>
      </c>
      <c r="C321" t="str">
        <f>[1]!RegExpSubstitute(MID(H321,FIND("- ",H321)+2,FIND("- ",H321,FIND("- ",H321)+1)-FIND("- ",H321)-2),"\&amp;quot\;.*\&amp;quot\;\W","")</f>
        <v xml:space="preserve">Khalil Sack </v>
      </c>
      <c r="D321" t="str">
        <f>VLOOKUP(SUBSTITUTE(TRIM(MID(H321,FIND(",TPE:",H321)-3,3)),"- ",""),Index!E:F,2,FALSE)</f>
        <v>Defensive Line</v>
      </c>
      <c r="E321" t="str">
        <f t="shared" si="17"/>
        <v>S15</v>
      </c>
      <c r="F321" t="s">
        <v>255</v>
      </c>
      <c r="G321">
        <f t="shared" si="19"/>
        <v>50</v>
      </c>
      <c r="H321" t="s">
        <v>23</v>
      </c>
    </row>
    <row r="322" spans="1:8" x14ac:dyDescent="0.25">
      <c r="A322">
        <f t="shared" ref="A322:A364" si="20">COUNTIF($B$2:$B$375,B322)</f>
        <v>1</v>
      </c>
      <c r="B322">
        <f t="shared" si="18"/>
        <v>12257</v>
      </c>
      <c r="C322" t="str">
        <f>[1]!RegExpSubstitute(MID(H322,FIND("- ",H322)+2,FIND("- ",H322,FIND("- ",H322)+1)-FIND("- ",H322)-2),"\&amp;quot\;.*\&amp;quot\;\W","")</f>
        <v xml:space="preserve">Thad Castle </v>
      </c>
      <c r="D322" t="str">
        <f>VLOOKUP(SUBSTITUTE(TRIM(MID(H322,FIND(",TPE:",H322)-3,3)),"- ",""),Index!E:F,2,FALSE)</f>
        <v>Linebacker</v>
      </c>
      <c r="E322" t="str">
        <f t="shared" ref="E322:E364" si="21">MID(H322,FIND("(",H322)+1,FIND(")",H322)-FIND("(",H322)-1)</f>
        <v>S15</v>
      </c>
      <c r="F322" t="s">
        <v>255</v>
      </c>
      <c r="G322">
        <f t="shared" si="19"/>
        <v>50</v>
      </c>
      <c r="H322" t="s">
        <v>24</v>
      </c>
    </row>
    <row r="323" spans="1:8" x14ac:dyDescent="0.25">
      <c r="A323">
        <f t="shared" si="20"/>
        <v>1</v>
      </c>
      <c r="B323">
        <f t="shared" ref="B323:B364" si="22">[1]!Numerize(MID(H323,FIND("=",H323),10))+0</f>
        <v>12249</v>
      </c>
      <c r="C323" t="str">
        <f>[1]!RegExpSubstitute(MID(H323,FIND("- ",H323)+2,FIND("- ",H323,FIND("- ",H323)+1)-FIND("- ",H323)-2),"\&amp;quot\;.*\&amp;quot\;\W","")</f>
        <v xml:space="preserve">Ben Bortboy </v>
      </c>
      <c r="D323" t="str">
        <f>VLOOKUP(SUBSTITUTE(TRIM(MID(H323,FIND(",TPE:",H323)-3,3)),"- ",""),Index!E:F,2,FALSE)</f>
        <v>Runningback</v>
      </c>
      <c r="E323" t="str">
        <f t="shared" si="21"/>
        <v>S15</v>
      </c>
      <c r="F323" t="s">
        <v>255</v>
      </c>
      <c r="G323">
        <f t="shared" ref="G323:G364" si="23">MID(H323,FIND("TPE: ",H323)+5,FIND(", ",H323,FIND("TPE: ",H323))-FIND("TPE: ",H323)-5)+0</f>
        <v>146</v>
      </c>
      <c r="H323" t="s">
        <v>390</v>
      </c>
    </row>
    <row r="324" spans="1:8" x14ac:dyDescent="0.25">
      <c r="A324">
        <f t="shared" si="20"/>
        <v>1</v>
      </c>
      <c r="B324">
        <f t="shared" si="22"/>
        <v>12224</v>
      </c>
      <c r="C324" t="str">
        <f>[1]!RegExpSubstitute(MID(H324,FIND("- ",H324)+2,FIND("- ",H324,FIND("- ",H324)+1)-FIND("- ",H324)-2),"\&amp;quot\;.*\&amp;quot\;\W","")</f>
        <v xml:space="preserve">Dan Wright </v>
      </c>
      <c r="D324" t="str">
        <f>VLOOKUP(SUBSTITUTE(TRIM(MID(H324,FIND(",TPE:",H324)-3,3)),"- ",""),Index!E:F,2,FALSE)</f>
        <v>Tight End</v>
      </c>
      <c r="E324" t="str">
        <f t="shared" si="21"/>
        <v>S15</v>
      </c>
      <c r="F324" t="s">
        <v>255</v>
      </c>
      <c r="G324">
        <f t="shared" si="23"/>
        <v>109</v>
      </c>
      <c r="H324" t="s">
        <v>391</v>
      </c>
    </row>
    <row r="325" spans="1:8" x14ac:dyDescent="0.25">
      <c r="A325">
        <f t="shared" si="20"/>
        <v>1</v>
      </c>
      <c r="B325">
        <f t="shared" si="22"/>
        <v>12198</v>
      </c>
      <c r="C325" t="str">
        <f>[1]!RegExpSubstitute(MID(H325,FIND("- ",H325)+2,FIND("- ",H325,FIND("- ",H325)+1)-FIND("- ",H325)-2),"\&amp;quot\;.*\&amp;quot\;\W","")</f>
        <v xml:space="preserve">Matteo Maximin </v>
      </c>
      <c r="D325" t="str">
        <f>VLOOKUP(SUBSTITUTE(TRIM(MID(H325,FIND(",TPE:",H325)-3,3)),"- ",""),Index!E:F,2,FALSE)</f>
        <v>Cornerback</v>
      </c>
      <c r="E325" t="str">
        <f t="shared" si="21"/>
        <v>S15</v>
      </c>
      <c r="F325" t="s">
        <v>255</v>
      </c>
      <c r="G325">
        <f t="shared" si="23"/>
        <v>50</v>
      </c>
      <c r="H325" t="s">
        <v>0</v>
      </c>
    </row>
    <row r="326" spans="1:8" x14ac:dyDescent="0.25">
      <c r="A326">
        <f t="shared" si="20"/>
        <v>1</v>
      </c>
      <c r="B326">
        <f t="shared" si="22"/>
        <v>12194</v>
      </c>
      <c r="C326" t="str">
        <f>[1]!RegExpSubstitute(MID(H326,FIND("- ",H326)+2,FIND("- ",H326,FIND("- ",H326)+1)-FIND("- ",H326)-2),"\&amp;quot\;.*\&amp;quot\;\W","")</f>
        <v xml:space="preserve">Fatih Terim </v>
      </c>
      <c r="D326" t="str">
        <f>VLOOKUP(SUBSTITUTE(TRIM(MID(H326,FIND(",TPE:",H326)-3,3)),"- ",""),Index!E:F,2,FALSE)</f>
        <v>Safety</v>
      </c>
      <c r="E326" t="str">
        <f t="shared" si="21"/>
        <v>S15</v>
      </c>
      <c r="F326" t="s">
        <v>255</v>
      </c>
      <c r="G326">
        <f t="shared" si="23"/>
        <v>141</v>
      </c>
      <c r="H326" t="s">
        <v>392</v>
      </c>
    </row>
    <row r="327" spans="1:8" x14ac:dyDescent="0.25">
      <c r="A327">
        <f t="shared" si="20"/>
        <v>1</v>
      </c>
      <c r="B327">
        <f t="shared" si="22"/>
        <v>12173</v>
      </c>
      <c r="C327" t="str">
        <f>[1]!RegExpSubstitute(MID(H327,FIND("- ",H327)+2,FIND("- ",H327,FIND("- ",H327)+1)-FIND("- ",H327)-2),"\&amp;quot\;.*\&amp;quot\;\W","")</f>
        <v xml:space="preserve">Nacho Varga </v>
      </c>
      <c r="D327" t="str">
        <f>VLOOKUP(SUBSTITUTE(TRIM(MID(H327,FIND(",TPE:",H327)-3,3)),"- ",""),Index!E:F,2,FALSE)</f>
        <v>Wide Receiver</v>
      </c>
      <c r="E327" t="str">
        <f t="shared" si="21"/>
        <v>S15</v>
      </c>
      <c r="F327" t="s">
        <v>255</v>
      </c>
      <c r="G327">
        <f t="shared" si="23"/>
        <v>132</v>
      </c>
      <c r="H327" t="s">
        <v>393</v>
      </c>
    </row>
    <row r="328" spans="1:8" x14ac:dyDescent="0.25">
      <c r="A328">
        <f t="shared" si="20"/>
        <v>1</v>
      </c>
      <c r="B328">
        <f t="shared" si="22"/>
        <v>12140</v>
      </c>
      <c r="C328" t="str">
        <f>[1]!RegExpSubstitute(MID(H328,FIND("- ",H328)+2,FIND("- ",H328,FIND("- ",H328)+1)-FIND("- ",H328)-2),"\&amp;quot\;.*\&amp;quot\;\W","")</f>
        <v xml:space="preserve">Gimmy Jaroppolo </v>
      </c>
      <c r="D328" t="str">
        <f>VLOOKUP(SUBSTITUTE(TRIM(MID(H328,FIND(",TPE:",H328)-3,3)),"- ",""),Index!E:F,2,FALSE)</f>
        <v>Quarterback</v>
      </c>
      <c r="E328" t="str">
        <f t="shared" si="21"/>
        <v>S15</v>
      </c>
      <c r="F328" t="s">
        <v>255</v>
      </c>
      <c r="G328">
        <f t="shared" si="23"/>
        <v>50</v>
      </c>
      <c r="H328" t="s">
        <v>25</v>
      </c>
    </row>
    <row r="329" spans="1:8" x14ac:dyDescent="0.25">
      <c r="A329">
        <f t="shared" si="20"/>
        <v>1</v>
      </c>
      <c r="B329">
        <f t="shared" si="22"/>
        <v>12163</v>
      </c>
      <c r="C329" t="str">
        <f>[1]!RegExpSubstitute(MID(H329,FIND("- ",H329)+2,FIND("- ",H329,FIND("- ",H329)+1)-FIND("- ",H329)-2),"\&amp;quot\;.*\&amp;quot\;\W","")</f>
        <v xml:space="preserve">Guy Nikko </v>
      </c>
      <c r="D329" t="str">
        <f>VLOOKUP(SUBSTITUTE(TRIM(MID(H329,FIND(",TPE:",H329)-3,3)),"- ",""),Index!E:F,2,FALSE)</f>
        <v>Linebacker</v>
      </c>
      <c r="E329" t="str">
        <f t="shared" si="21"/>
        <v>S15</v>
      </c>
      <c r="F329" t="s">
        <v>255</v>
      </c>
      <c r="G329">
        <f t="shared" si="23"/>
        <v>160</v>
      </c>
      <c r="H329" t="s">
        <v>394</v>
      </c>
    </row>
    <row r="330" spans="1:8" x14ac:dyDescent="0.25">
      <c r="A330">
        <f t="shared" si="20"/>
        <v>1</v>
      </c>
      <c r="B330">
        <f t="shared" si="22"/>
        <v>12102</v>
      </c>
      <c r="C330" t="str">
        <f>[1]!RegExpSubstitute(MID(H330,FIND("- ",H330)+2,FIND("- ",H330,FIND("- ",H330)+1)-FIND("- ",H330)-2),"\&amp;quot\;.*\&amp;quot\;\W","")</f>
        <v xml:space="preserve">Tony Gabagool </v>
      </c>
      <c r="D330" t="str">
        <f>VLOOKUP(SUBSTITUTE(TRIM(MID(H330,FIND(",TPE:",H330)-3,3)),"- ",""),Index!E:F,2,FALSE)</f>
        <v>Linebacker</v>
      </c>
      <c r="E330" t="str">
        <f t="shared" si="21"/>
        <v>S15</v>
      </c>
      <c r="F330" t="s">
        <v>255</v>
      </c>
      <c r="G330">
        <f t="shared" si="23"/>
        <v>137</v>
      </c>
      <c r="H330" t="s">
        <v>395</v>
      </c>
    </row>
    <row r="331" spans="1:8" x14ac:dyDescent="0.25">
      <c r="A331">
        <f t="shared" si="20"/>
        <v>1</v>
      </c>
      <c r="B331">
        <f t="shared" si="22"/>
        <v>12095</v>
      </c>
      <c r="C331" t="str">
        <f>[1]!RegExpSubstitute(MID(H331,FIND("- ",H331)+2,FIND("- ",H331,FIND("- ",H331)+1)-FIND("- ",H331)-2),"\&amp;quot\;.*\&amp;quot\;\W","")</f>
        <v xml:space="preserve">Lamont McKinnie </v>
      </c>
      <c r="D331" t="str">
        <f>VLOOKUP(SUBSTITUTE(TRIM(MID(H331,FIND(",TPE:",H331)-3,3)),"- ",""),Index!E:F,2,FALSE)</f>
        <v>Safety</v>
      </c>
      <c r="E331" t="str">
        <f t="shared" si="21"/>
        <v>S15</v>
      </c>
      <c r="F331" t="s">
        <v>255</v>
      </c>
      <c r="G331">
        <f t="shared" si="23"/>
        <v>148</v>
      </c>
      <c r="H331" t="s">
        <v>396</v>
      </c>
    </row>
    <row r="332" spans="1:8" x14ac:dyDescent="0.25">
      <c r="A332">
        <f t="shared" si="20"/>
        <v>1</v>
      </c>
      <c r="B332">
        <f t="shared" si="22"/>
        <v>12083</v>
      </c>
      <c r="C332" t="str">
        <f>[1]!RegExpSubstitute(MID(H332,FIND("- ",H332)+2,FIND("- ",H332,FIND("- ",H332)+1)-FIND("- ",H332)-2),"\&amp;quot\;.*\&amp;quot\;\W","")</f>
        <v xml:space="preserve">Rahm Kota </v>
      </c>
      <c r="D332" t="str">
        <f>VLOOKUP(SUBSTITUTE(TRIM(MID(H332,FIND(",TPE:",H332)-3,3)),"- ",""),Index!E:F,2,FALSE)</f>
        <v>Offensive Line</v>
      </c>
      <c r="E332" t="str">
        <f t="shared" si="21"/>
        <v>S15</v>
      </c>
      <c r="F332" t="s">
        <v>255</v>
      </c>
      <c r="G332">
        <f t="shared" si="23"/>
        <v>103</v>
      </c>
      <c r="H332" t="s">
        <v>397</v>
      </c>
    </row>
    <row r="333" spans="1:8" x14ac:dyDescent="0.25">
      <c r="A333">
        <f t="shared" si="20"/>
        <v>1</v>
      </c>
      <c r="B333">
        <f t="shared" si="22"/>
        <v>12017</v>
      </c>
      <c r="C333" t="str">
        <f>[1]!RegExpSubstitute(MID(H333,FIND("- ",H333)+2,FIND("- ",H333,FIND("- ",H333)+1)-FIND("- ",H333)-2),"\&amp;quot\;.*\&amp;quot\;\W","")</f>
        <v xml:space="preserve">Chase Jensen </v>
      </c>
      <c r="D333" t="str">
        <f>VLOOKUP(SUBSTITUTE(TRIM(MID(H333,FIND(",TPE:",H333)-3,3)),"- ",""),Index!E:F,2,FALSE)</f>
        <v>Tight End</v>
      </c>
      <c r="E333" t="str">
        <f t="shared" si="21"/>
        <v>S15</v>
      </c>
      <c r="F333" t="s">
        <v>255</v>
      </c>
      <c r="G333">
        <f t="shared" si="23"/>
        <v>186</v>
      </c>
      <c r="H333" t="s">
        <v>398</v>
      </c>
    </row>
    <row r="334" spans="1:8" x14ac:dyDescent="0.25">
      <c r="A334">
        <f t="shared" si="20"/>
        <v>1</v>
      </c>
      <c r="B334">
        <f t="shared" si="22"/>
        <v>11988</v>
      </c>
      <c r="C334" t="str">
        <f>[1]!RegExpSubstitute(MID(H334,FIND("- ",H334)+2,FIND("- ",H334,FIND("- ",H334)+1)-FIND("- ",H334)-2),"\&amp;quot\;.*\&amp;quot\;\W","")</f>
        <v xml:space="preserve">André Thornton </v>
      </c>
      <c r="D334" t="str">
        <f>VLOOKUP(SUBSTITUTE(TRIM(MID(H334,FIND(",TPE:",H334)-3,3)),"- ",""),Index!E:F,2,FALSE)</f>
        <v>Wide Receiver</v>
      </c>
      <c r="E334" t="str">
        <f t="shared" si="21"/>
        <v>S15</v>
      </c>
      <c r="F334" t="s">
        <v>255</v>
      </c>
      <c r="G334">
        <f t="shared" si="23"/>
        <v>50</v>
      </c>
      <c r="H334" t="s">
        <v>26</v>
      </c>
    </row>
    <row r="335" spans="1:8" x14ac:dyDescent="0.25">
      <c r="A335">
        <f t="shared" si="20"/>
        <v>1</v>
      </c>
      <c r="B335">
        <f t="shared" si="22"/>
        <v>10470</v>
      </c>
      <c r="C335" t="str">
        <f>[1]!RegExpSubstitute(MID(H335,FIND("- ",H335)+2,FIND("- ",H335,FIND("- ",H335)+1)-FIND("- ",H335)-2),"\&amp;quot\;.*\&amp;quot\;\W","")</f>
        <v xml:space="preserve">Roderick Castleberry </v>
      </c>
      <c r="D335" t="str">
        <f>VLOOKUP(SUBSTITUTE(TRIM(MID(H335,FIND(",TPE:",H335)-3,3)),"- ",""),Index!E:F,2,FALSE)</f>
        <v>Kicker</v>
      </c>
      <c r="E335" t="str">
        <f t="shared" si="21"/>
        <v>S12</v>
      </c>
      <c r="F335" t="s">
        <v>255</v>
      </c>
      <c r="G335">
        <f t="shared" si="23"/>
        <v>95</v>
      </c>
      <c r="H335" t="s">
        <v>37</v>
      </c>
    </row>
    <row r="336" spans="1:8" x14ac:dyDescent="0.25">
      <c r="A336">
        <f t="shared" si="20"/>
        <v>1</v>
      </c>
      <c r="B336">
        <f t="shared" si="22"/>
        <v>9857</v>
      </c>
      <c r="C336" t="str">
        <f>[1]!RegExpSubstitute(MID(H336,FIND("- ",H336)+2,FIND("- ",H336,FIND("- ",H336)+1)-FIND("- ",H336)-2),"\&amp;quot\;.*\&amp;quot\;\W","")</f>
        <v xml:space="preserve">Kick Puncher </v>
      </c>
      <c r="D336" t="str">
        <f>VLOOKUP(SUBSTITUTE(TRIM(MID(H336,FIND(",TPE:",H336)-3,3)),"- ",""),Index!E:F,2,FALSE)</f>
        <v>Kicker</v>
      </c>
      <c r="E336" t="str">
        <f t="shared" si="21"/>
        <v>S11</v>
      </c>
      <c r="F336" t="s">
        <v>255</v>
      </c>
      <c r="G336">
        <f t="shared" si="23"/>
        <v>76</v>
      </c>
      <c r="H336" t="s">
        <v>284</v>
      </c>
    </row>
    <row r="337" spans="1:8" x14ac:dyDescent="0.25">
      <c r="A337">
        <f t="shared" si="20"/>
        <v>1</v>
      </c>
      <c r="B337">
        <f t="shared" si="22"/>
        <v>12899</v>
      </c>
      <c r="C337" t="str">
        <f>[1]!RegExpSubstitute(MID(H337,FIND("- ",H337)+2,FIND("- ",H337,FIND("- ",H337)+1)-FIND("- ",H337)-2),"\&amp;quot\;.*\&amp;quot\;\W","")</f>
        <v xml:space="preserve">Trevon Simmons </v>
      </c>
      <c r="D337" t="str">
        <f>VLOOKUP(SUBSTITUTE(TRIM(MID(H337,FIND(",TPE:",H337)-3,3)),"- ",""),Index!E:F,2,FALSE)</f>
        <v>Defensive Line</v>
      </c>
      <c r="E337" t="str">
        <f t="shared" si="21"/>
        <v>S15</v>
      </c>
      <c r="F337" t="s">
        <v>256</v>
      </c>
      <c r="G337">
        <f t="shared" si="23"/>
        <v>50</v>
      </c>
      <c r="H337" t="s">
        <v>399</v>
      </c>
    </row>
    <row r="338" spans="1:8" x14ac:dyDescent="0.25">
      <c r="A338">
        <f t="shared" si="20"/>
        <v>1</v>
      </c>
      <c r="B338">
        <f t="shared" si="22"/>
        <v>12691</v>
      </c>
      <c r="C338" t="str">
        <f>[1]!RegExpSubstitute(MID(H338,FIND("- ",H338)+2,FIND("- ",H338,FIND("- ",H338)+1)-FIND("- ",H338)-2),"\&amp;quot\;.*\&amp;quot\;\W","")</f>
        <v xml:space="preserve">Apollo Reed </v>
      </c>
      <c r="D338" t="str">
        <f>VLOOKUP(SUBSTITUTE(TRIM(MID(H338,FIND(",TPE:",H338)-3,3)),"- ",""),Index!E:F,2,FALSE)</f>
        <v>Runningback</v>
      </c>
      <c r="E338" t="str">
        <f t="shared" si="21"/>
        <v>S15</v>
      </c>
      <c r="F338" t="s">
        <v>256</v>
      </c>
      <c r="G338">
        <f t="shared" si="23"/>
        <v>111</v>
      </c>
      <c r="H338" t="s">
        <v>400</v>
      </c>
    </row>
    <row r="339" spans="1:8" x14ac:dyDescent="0.25">
      <c r="A339">
        <f t="shared" si="20"/>
        <v>1</v>
      </c>
      <c r="B339">
        <f t="shared" si="22"/>
        <v>12604</v>
      </c>
      <c r="C339" t="str">
        <f>[1]!RegExpSubstitute(MID(H339,FIND("- ",H339)+2,FIND("- ",H339,FIND("- ",H339)+1)-FIND("- ",H339)-2),"\&amp;quot\;.*\&amp;quot\;\W","")</f>
        <v xml:space="preserve">Eric Lorentz </v>
      </c>
      <c r="D339" t="str">
        <f>VLOOKUP(SUBSTITUTE(TRIM(MID(H339,FIND(",TPE:",H339)-3,3)),"- ",""),Index!E:F,2,FALSE)</f>
        <v>Linebacker</v>
      </c>
      <c r="E339" t="str">
        <f t="shared" si="21"/>
        <v>S15</v>
      </c>
      <c r="F339" t="s">
        <v>256</v>
      </c>
      <c r="G339">
        <f t="shared" si="23"/>
        <v>55</v>
      </c>
      <c r="H339" t="s">
        <v>233</v>
      </c>
    </row>
    <row r="340" spans="1:8" x14ac:dyDescent="0.25">
      <c r="A340">
        <f t="shared" si="20"/>
        <v>1</v>
      </c>
      <c r="B340">
        <f t="shared" si="22"/>
        <v>12561</v>
      </c>
      <c r="C340" t="str">
        <f>[1]!RegExpSubstitute(MID(H340,FIND("- ",H340)+2,FIND("- ",H340,FIND("- ",H340)+1)-FIND("- ",H340)-2),"\&amp;quot\;.*\&amp;quot\;\W","")</f>
        <v xml:space="preserve">Cameron Clutch </v>
      </c>
      <c r="D340" t="str">
        <f>VLOOKUP(SUBSTITUTE(TRIM(MID(H340,FIND(",TPE:",H340)-3,3)),"- ",""),Index!E:F,2,FALSE)</f>
        <v>Kicker</v>
      </c>
      <c r="E340" t="str">
        <f t="shared" si="21"/>
        <v>S15</v>
      </c>
      <c r="F340" t="s">
        <v>256</v>
      </c>
      <c r="G340">
        <f t="shared" si="23"/>
        <v>82</v>
      </c>
      <c r="H340" t="s">
        <v>234</v>
      </c>
    </row>
    <row r="341" spans="1:8" x14ac:dyDescent="0.25">
      <c r="A341">
        <f t="shared" si="20"/>
        <v>1</v>
      </c>
      <c r="B341">
        <f t="shared" si="22"/>
        <v>12526</v>
      </c>
      <c r="C341" t="str">
        <f>[1]!RegExpSubstitute(MID(H341,FIND("- ",H341)+2,FIND("- ",H341,FIND("- ",H341)+1)-FIND("- ",H341)-2),"\&amp;quot\;.*\&amp;quot\;\W","")</f>
        <v xml:space="preserve">John Tebow </v>
      </c>
      <c r="D341" t="str">
        <f>VLOOKUP(SUBSTITUTE(TRIM(MID(H341,FIND(",TPE:",H341)-3,3)),"- ",""),Index!E:F,2,FALSE)</f>
        <v>Quarterback</v>
      </c>
      <c r="E341" t="str">
        <f t="shared" si="21"/>
        <v>S15</v>
      </c>
      <c r="F341" t="s">
        <v>256</v>
      </c>
      <c r="G341">
        <f t="shared" si="23"/>
        <v>50</v>
      </c>
      <c r="H341" t="s">
        <v>18</v>
      </c>
    </row>
    <row r="342" spans="1:8" x14ac:dyDescent="0.25">
      <c r="A342">
        <f t="shared" si="20"/>
        <v>1</v>
      </c>
      <c r="B342">
        <f t="shared" si="22"/>
        <v>12482</v>
      </c>
      <c r="C342" t="str">
        <f>[1]!RegExpSubstitute(MID(H342,FIND("- ",H342)+2,FIND("- ",H342,FIND("- ",H342)+1)-FIND("- ",H342)-2),"\&amp;quot\;.*\&amp;quot\;\W","")</f>
        <v xml:space="preserve">Jay Longshaw </v>
      </c>
      <c r="D342" t="str">
        <f>VLOOKUP(SUBSTITUTE(TRIM(MID(H342,FIND(",TPE:",H342)-3,3)),"- ",""),Index!E:F,2,FALSE)</f>
        <v>Quarterback</v>
      </c>
      <c r="E342" t="str">
        <f t="shared" si="21"/>
        <v>S15</v>
      </c>
      <c r="F342" t="s">
        <v>256</v>
      </c>
      <c r="G342">
        <f t="shared" si="23"/>
        <v>132</v>
      </c>
      <c r="H342" t="s">
        <v>401</v>
      </c>
    </row>
    <row r="343" spans="1:8" x14ac:dyDescent="0.25">
      <c r="A343">
        <f t="shared" si="20"/>
        <v>1</v>
      </c>
      <c r="B343">
        <f t="shared" si="22"/>
        <v>12272</v>
      </c>
      <c r="C343" t="str">
        <f>[1]!RegExpSubstitute(MID(H343,FIND("- ",H343)+2,FIND("- ",H343,FIND("- ",H343)+1)-FIND("- ",H343)-2),"\&amp;quot\;.*\&amp;quot\;\W","")</f>
        <v xml:space="preserve">Charles Mudley </v>
      </c>
      <c r="D343" t="str">
        <f>VLOOKUP(SUBSTITUTE(TRIM(MID(H343,FIND(",TPE:",H343)-3,3)),"- ",""),Index!E:F,2,FALSE)</f>
        <v>Wide Receiver</v>
      </c>
      <c r="E343" t="str">
        <f t="shared" si="21"/>
        <v>S15</v>
      </c>
      <c r="F343" t="s">
        <v>256</v>
      </c>
      <c r="G343">
        <f t="shared" si="23"/>
        <v>83</v>
      </c>
      <c r="H343" t="s">
        <v>235</v>
      </c>
    </row>
    <row r="344" spans="1:8" x14ac:dyDescent="0.25">
      <c r="A344">
        <f t="shared" si="20"/>
        <v>1</v>
      </c>
      <c r="B344">
        <f t="shared" si="22"/>
        <v>12332</v>
      </c>
      <c r="C344" t="str">
        <f>[1]!RegExpSubstitute(MID(H344,FIND("- ",H344)+2,FIND("- ",H344,FIND("- ",H344)+1)-FIND("- ",H344)-2),"\&amp;quot\;.*\&amp;quot\;\W","")</f>
        <v xml:space="preserve">Tobias Chase </v>
      </c>
      <c r="D344" t="str">
        <f>VLOOKUP(SUBSTITUTE(TRIM(MID(H344,FIND(",TPE:",H344)-3,3)),"- ",""),Index!E:F,2,FALSE)</f>
        <v>Cornerback</v>
      </c>
      <c r="E344" t="str">
        <f t="shared" si="21"/>
        <v>S15</v>
      </c>
      <c r="F344" t="s">
        <v>256</v>
      </c>
      <c r="G344">
        <f t="shared" si="23"/>
        <v>99</v>
      </c>
      <c r="H344" t="s">
        <v>236</v>
      </c>
    </row>
    <row r="345" spans="1:8" x14ac:dyDescent="0.25">
      <c r="A345">
        <f t="shared" si="20"/>
        <v>1</v>
      </c>
      <c r="B345">
        <f t="shared" si="22"/>
        <v>12299</v>
      </c>
      <c r="C345" t="str">
        <f>[1]!RegExpSubstitute(MID(H345,FIND("- ",H345)+2,FIND("- ",H345,FIND("- ",H345)+1)-FIND("- ",H345)-2),"\&amp;quot\;.*\&amp;quot\;\W","")</f>
        <v xml:space="preserve">D'Angelo Thompson </v>
      </c>
      <c r="D345" t="str">
        <f>VLOOKUP(SUBSTITUTE(TRIM(MID(H345,FIND(",TPE:",H345)-3,3)),"- ",""),Index!E:F,2,FALSE)</f>
        <v>Safety</v>
      </c>
      <c r="E345" t="str">
        <f t="shared" si="21"/>
        <v>S15</v>
      </c>
      <c r="F345" t="s">
        <v>256</v>
      </c>
      <c r="G345">
        <f t="shared" si="23"/>
        <v>50</v>
      </c>
      <c r="H345" t="s">
        <v>19</v>
      </c>
    </row>
    <row r="346" spans="1:8" x14ac:dyDescent="0.25">
      <c r="A346">
        <f t="shared" si="20"/>
        <v>1</v>
      </c>
      <c r="B346">
        <f t="shared" si="22"/>
        <v>12296</v>
      </c>
      <c r="C346" t="str">
        <f>[1]!RegExpSubstitute(MID(H346,FIND("- ",H346)+2,FIND("- ",H346,FIND("- ",H346)+1)-FIND("- ",H346)-2),"\&amp;quot\;.*\&amp;quot\;\W","")</f>
        <v xml:space="preserve">Ahri Espeeyeeseetee </v>
      </c>
      <c r="D346" t="str">
        <f>VLOOKUP(SUBSTITUTE(TRIM(MID(H346,FIND(",TPE:",H346)-3,3)),"- ",""),Index!E:F,2,FALSE)</f>
        <v>Wide Receiver</v>
      </c>
      <c r="E346" t="str">
        <f t="shared" si="21"/>
        <v>S15</v>
      </c>
      <c r="F346" t="s">
        <v>256</v>
      </c>
      <c r="G346">
        <f t="shared" si="23"/>
        <v>160</v>
      </c>
      <c r="H346" t="s">
        <v>402</v>
      </c>
    </row>
    <row r="347" spans="1:8" x14ac:dyDescent="0.25">
      <c r="A347">
        <f t="shared" si="20"/>
        <v>1</v>
      </c>
      <c r="B347">
        <f t="shared" si="22"/>
        <v>12290</v>
      </c>
      <c r="C347" t="str">
        <f>[1]!RegExpSubstitute(MID(H347,FIND("- ",H347)+2,FIND("- ",H347,FIND("- ",H347)+1)-FIND("- ",H347)-2),"\&amp;quot\;.*\&amp;quot\;\W","")</f>
        <v xml:space="preserve">Lucas Knight </v>
      </c>
      <c r="D347" t="str">
        <f>VLOOKUP(SUBSTITUTE(TRIM(MID(H347,FIND(",TPE:",H347)-3,3)),"- ",""),Index!E:F,2,FALSE)</f>
        <v>Cornerback</v>
      </c>
      <c r="E347" t="str">
        <f t="shared" si="21"/>
        <v>S15</v>
      </c>
      <c r="F347" t="s">
        <v>256</v>
      </c>
      <c r="G347">
        <f t="shared" si="23"/>
        <v>122</v>
      </c>
      <c r="H347" t="s">
        <v>237</v>
      </c>
    </row>
    <row r="348" spans="1:8" x14ac:dyDescent="0.25">
      <c r="A348">
        <f t="shared" si="20"/>
        <v>1</v>
      </c>
      <c r="B348">
        <f t="shared" si="22"/>
        <v>12240</v>
      </c>
      <c r="C348" t="str">
        <f>[1]!RegExpSubstitute(MID(H348,FIND("- ",H348)+2,FIND("- ",H348,FIND("- ",H348)+1)-FIND("- ",H348)-2),"\&amp;quot\;.*\&amp;quot\;\W","")</f>
        <v xml:space="preserve">Dorfus Jimbo </v>
      </c>
      <c r="D348" t="str">
        <f>VLOOKUP(SUBSTITUTE(TRIM(MID(H348,FIND(",TPE:",H348)-3,3)),"- ",""),Index!E:F,2,FALSE)</f>
        <v>Runningback</v>
      </c>
      <c r="E348" t="str">
        <f t="shared" si="21"/>
        <v>S15</v>
      </c>
      <c r="F348" t="s">
        <v>256</v>
      </c>
      <c r="G348">
        <f t="shared" si="23"/>
        <v>118</v>
      </c>
      <c r="H348" t="s">
        <v>238</v>
      </c>
    </row>
    <row r="349" spans="1:8" x14ac:dyDescent="0.25">
      <c r="A349">
        <f t="shared" si="20"/>
        <v>1</v>
      </c>
      <c r="B349">
        <f t="shared" si="22"/>
        <v>12226</v>
      </c>
      <c r="C349" t="str">
        <f>[1]!RegExpSubstitute(MID(H349,FIND("- ",H349)+2,FIND("- ",H349,FIND("- ",H349)+1)-FIND("- ",H349)-2),"\&amp;quot\;.*\&amp;quot\;\W","")</f>
        <v xml:space="preserve">Proy Tolamalu  </v>
      </c>
      <c r="D349" t="str">
        <f>VLOOKUP(SUBSTITUTE(TRIM(MID(H349,FIND(",TPE:",H349)-3,3)),"- ",""),Index!E:F,2,FALSE)</f>
        <v>Safety</v>
      </c>
      <c r="E349" t="str">
        <f t="shared" si="21"/>
        <v>S15</v>
      </c>
      <c r="F349" t="s">
        <v>256</v>
      </c>
      <c r="G349">
        <f t="shared" si="23"/>
        <v>50</v>
      </c>
      <c r="H349" t="s">
        <v>3</v>
      </c>
    </row>
    <row r="350" spans="1:8" x14ac:dyDescent="0.25">
      <c r="A350">
        <f t="shared" si="20"/>
        <v>1</v>
      </c>
      <c r="B350">
        <f t="shared" si="22"/>
        <v>12143</v>
      </c>
      <c r="C350" t="str">
        <f>[1]!RegExpSubstitute(MID(H350,FIND("- ",H350)+2,FIND("- ",H350,FIND("- ",H350)+1)-FIND("- ",H350)-2),"\&amp;quot\;.*\&amp;quot\;\W","")</f>
        <v xml:space="preserve">Jack Rambo </v>
      </c>
      <c r="D350" t="str">
        <f>VLOOKUP(SUBSTITUTE(TRIM(MID(H350,FIND(",TPE:",H350)-3,3)),"- ",""),Index!E:F,2,FALSE)</f>
        <v>Safety</v>
      </c>
      <c r="E350" t="str">
        <f t="shared" si="21"/>
        <v>S15</v>
      </c>
      <c r="F350" t="s">
        <v>256</v>
      </c>
      <c r="G350">
        <f t="shared" si="23"/>
        <v>111</v>
      </c>
      <c r="H350" t="s">
        <v>239</v>
      </c>
    </row>
    <row r="351" spans="1:8" x14ac:dyDescent="0.25">
      <c r="A351">
        <f t="shared" si="20"/>
        <v>1</v>
      </c>
      <c r="B351">
        <f t="shared" si="22"/>
        <v>12188</v>
      </c>
      <c r="C351" t="str">
        <f>[1]!RegExpSubstitute(MID(H351,FIND("- ",H351)+2,FIND("- ",H351,FIND("- ",H351)+1)-FIND("- ",H351)-2),"\&amp;quot\;.*\&amp;quot\;\W","")</f>
        <v xml:space="preserve">Logan Uchiha </v>
      </c>
      <c r="D351" t="str">
        <f>VLOOKUP(SUBSTITUTE(TRIM(MID(H351,FIND(",TPE:",H351)-3,3)),"- ",""),Index!E:F,2,FALSE)</f>
        <v>Safety</v>
      </c>
      <c r="E351" t="str">
        <f t="shared" si="21"/>
        <v>S15</v>
      </c>
      <c r="F351" t="s">
        <v>256</v>
      </c>
      <c r="G351">
        <f t="shared" si="23"/>
        <v>128</v>
      </c>
      <c r="H351" t="s">
        <v>403</v>
      </c>
    </row>
    <row r="352" spans="1:8" x14ac:dyDescent="0.25">
      <c r="A352">
        <f t="shared" si="20"/>
        <v>1</v>
      </c>
      <c r="B352">
        <f t="shared" si="22"/>
        <v>12154</v>
      </c>
      <c r="C352" t="str">
        <f>[1]!RegExpSubstitute(MID(H352,FIND("- ",H352)+2,FIND("- ",H352,FIND("- ",H352)+1)-FIND("- ",H352)-2),"\&amp;quot\;.*\&amp;quot\;\W","")</f>
        <v xml:space="preserve">Poster Nutbag </v>
      </c>
      <c r="D352" t="str">
        <f>VLOOKUP(SUBSTITUTE(TRIM(MID(H352,FIND(",TPE:",H352)-3,3)),"- ",""),Index!E:F,2,FALSE)</f>
        <v>Defensive Line</v>
      </c>
      <c r="E352" t="str">
        <f t="shared" si="21"/>
        <v>S15</v>
      </c>
      <c r="F352" t="s">
        <v>256</v>
      </c>
      <c r="G352">
        <f t="shared" si="23"/>
        <v>50</v>
      </c>
      <c r="H352" t="s">
        <v>20</v>
      </c>
    </row>
    <row r="353" spans="1:8" x14ac:dyDescent="0.25">
      <c r="A353">
        <f t="shared" si="20"/>
        <v>1</v>
      </c>
      <c r="B353">
        <f t="shared" si="22"/>
        <v>12153</v>
      </c>
      <c r="C353" t="str">
        <f>[1]!RegExpSubstitute(MID(H353,FIND("- ",H353)+2,FIND("- ",H353,FIND("- ",H353)+1)-FIND("- ",H353)-2),"\&amp;quot\;.*\&amp;quot\;\W","")</f>
        <v xml:space="preserve">Luke South </v>
      </c>
      <c r="D353" t="str">
        <f>VLOOKUP(SUBSTITUTE(TRIM(MID(H353,FIND(",TPE:",H353)-3,3)),"- ",""),Index!E:F,2,FALSE)</f>
        <v>Tight End</v>
      </c>
      <c r="E353" t="str">
        <f t="shared" si="21"/>
        <v>S15</v>
      </c>
      <c r="F353" t="s">
        <v>256</v>
      </c>
      <c r="G353">
        <f t="shared" si="23"/>
        <v>50</v>
      </c>
      <c r="H353" t="s">
        <v>21</v>
      </c>
    </row>
    <row r="354" spans="1:8" x14ac:dyDescent="0.25">
      <c r="A354">
        <f t="shared" si="20"/>
        <v>1</v>
      </c>
      <c r="B354">
        <f t="shared" si="22"/>
        <v>12138</v>
      </c>
      <c r="C354" t="str">
        <f>[1]!RegExpSubstitute(MID(H354,FIND("- ",H354)+2,FIND("- ",H354,FIND("- ",H354)+1)-FIND("- ",H354)-2),"\&amp;quot\;.*\&amp;quot\;\W","")</f>
        <v xml:space="preserve">Giannis Kroustis </v>
      </c>
      <c r="D354" t="str">
        <f>VLOOKUP(SUBSTITUTE(TRIM(MID(H354,FIND(",TPE:",H354)-3,3)),"- ",""),Index!E:F,2,FALSE)</f>
        <v>Safety</v>
      </c>
      <c r="E354" t="str">
        <f t="shared" si="21"/>
        <v>S15</v>
      </c>
      <c r="F354" t="s">
        <v>256</v>
      </c>
      <c r="G354">
        <f t="shared" si="23"/>
        <v>124</v>
      </c>
      <c r="H354" t="s">
        <v>404</v>
      </c>
    </row>
    <row r="355" spans="1:8" x14ac:dyDescent="0.25">
      <c r="A355">
        <f t="shared" si="20"/>
        <v>1</v>
      </c>
      <c r="B355">
        <f t="shared" si="22"/>
        <v>12107</v>
      </c>
      <c r="C355" t="str">
        <f>[1]!RegExpSubstitute(MID(H355,FIND("- ",H355)+2,FIND("- ",H355,FIND("- ",H355)+1)-FIND("- ",H355)-2),"\&amp;quot\;.*\&amp;quot\;\W","")</f>
        <v xml:space="preserve">Nick Snider </v>
      </c>
      <c r="D355" t="str">
        <f>VLOOKUP(SUBSTITUTE(TRIM(MID(H355,FIND(",TPE:",H355)-3,3)),"- ",""),Index!E:F,2,FALSE)</f>
        <v>Defensive Line</v>
      </c>
      <c r="E355" t="str">
        <f t="shared" si="21"/>
        <v>S15</v>
      </c>
      <c r="F355" t="s">
        <v>256</v>
      </c>
      <c r="G355">
        <f t="shared" si="23"/>
        <v>87</v>
      </c>
      <c r="H355" t="s">
        <v>240</v>
      </c>
    </row>
    <row r="356" spans="1:8" x14ac:dyDescent="0.25">
      <c r="A356">
        <f t="shared" si="20"/>
        <v>1</v>
      </c>
      <c r="B356">
        <f t="shared" si="22"/>
        <v>12063</v>
      </c>
      <c r="C356" t="str">
        <f>[1]!RegExpSubstitute(MID(H356,FIND("- ",H356)+2,FIND("- ",H356,FIND("- ",H356)+1)-FIND("- ",H356)-2),"\&amp;quot\;.*\&amp;quot\;\W","")</f>
        <v xml:space="preserve">Ricardo Morris </v>
      </c>
      <c r="D356" t="str">
        <f>VLOOKUP(SUBSTITUTE(TRIM(MID(H356,FIND(",TPE:",H356)-3,3)),"- ",""),Index!E:F,2,FALSE)</f>
        <v>Defensive Line</v>
      </c>
      <c r="E356" t="str">
        <f t="shared" si="21"/>
        <v>S15</v>
      </c>
      <c r="F356" t="s">
        <v>256</v>
      </c>
      <c r="G356">
        <f t="shared" si="23"/>
        <v>160</v>
      </c>
      <c r="H356" t="s">
        <v>405</v>
      </c>
    </row>
    <row r="357" spans="1:8" x14ac:dyDescent="0.25">
      <c r="A357">
        <f t="shared" si="20"/>
        <v>1</v>
      </c>
      <c r="B357">
        <f t="shared" si="22"/>
        <v>12087</v>
      </c>
      <c r="C357" t="str">
        <f>[1]!RegExpSubstitute(MID(H357,FIND("- ",H357)+2,FIND("- ",H357,FIND("- ",H357)+1)-FIND("- ",H357)-2),"\&amp;quot\;.*\&amp;quot\;\W","")</f>
        <v xml:space="preserve">Brock Landers </v>
      </c>
      <c r="D357" t="str">
        <f>VLOOKUP(SUBSTITUTE(TRIM(MID(H357,FIND(",TPE:",H357)-3,3)),"- ",""),Index!E:F,2,FALSE)</f>
        <v>Wide Receiver</v>
      </c>
      <c r="E357" t="str">
        <f t="shared" si="21"/>
        <v>S15</v>
      </c>
      <c r="F357" t="s">
        <v>256</v>
      </c>
      <c r="G357">
        <f t="shared" si="23"/>
        <v>164</v>
      </c>
      <c r="H357" t="s">
        <v>406</v>
      </c>
    </row>
    <row r="358" spans="1:8" x14ac:dyDescent="0.25">
      <c r="A358">
        <f t="shared" si="20"/>
        <v>1</v>
      </c>
      <c r="B358">
        <f t="shared" si="22"/>
        <v>12086</v>
      </c>
      <c r="C358" t="str">
        <f>[1]!RegExpSubstitute(MID(H358,FIND("- ",H358)+2,FIND("- ",H358,FIND("- ",H358)+1)-FIND("- ",H358)-2),"\&amp;quot\;.*\&amp;quot\;\W","")</f>
        <v xml:space="preserve">Marquees Acho </v>
      </c>
      <c r="D358" t="str">
        <f>VLOOKUP(SUBSTITUTE(TRIM(MID(H358,FIND(",TPE:",H358)-3,3)),"- ",""),Index!E:F,2,FALSE)</f>
        <v>Linebacker</v>
      </c>
      <c r="E358" t="str">
        <f t="shared" si="21"/>
        <v>S15</v>
      </c>
      <c r="F358" t="s">
        <v>256</v>
      </c>
      <c r="G358">
        <f t="shared" si="23"/>
        <v>122</v>
      </c>
      <c r="H358" t="s">
        <v>407</v>
      </c>
    </row>
    <row r="359" spans="1:8" x14ac:dyDescent="0.25">
      <c r="A359">
        <f t="shared" si="20"/>
        <v>1</v>
      </c>
      <c r="B359">
        <f t="shared" si="22"/>
        <v>11967</v>
      </c>
      <c r="C359" t="str">
        <f>[1]!RegExpSubstitute(MID(H359,FIND("- ",H359)+2,FIND("- ",H359,FIND("- ",H359)+1)-FIND("- ",H359)-2),"\&amp;quot\;.*\&amp;quot\;\W","")</f>
        <v xml:space="preserve">Allen Josh </v>
      </c>
      <c r="D359" t="str">
        <f>VLOOKUP(SUBSTITUTE(TRIM(MID(H359,FIND(",TPE:",H359)-3,3)),"- ",""),Index!E:F,2,FALSE)</f>
        <v>Linebacker</v>
      </c>
      <c r="E359" t="str">
        <f t="shared" si="21"/>
        <v>S15</v>
      </c>
      <c r="F359" t="s">
        <v>256</v>
      </c>
      <c r="G359">
        <f t="shared" si="23"/>
        <v>158</v>
      </c>
      <c r="H359" t="s">
        <v>241</v>
      </c>
    </row>
  </sheetData>
  <autoFilter ref="B1:H373"/>
  <sortState ref="H1:H1242">
    <sortCondition ref="H34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64"/>
  <sheetViews>
    <sheetView workbookViewId="0"/>
  </sheetViews>
  <sheetFormatPr defaultRowHeight="15" x14ac:dyDescent="0.25"/>
  <cols>
    <col min="8" max="8" width="11.5703125" style="2" bestFit="1" customWidth="1"/>
    <col min="9" max="9" width="8.7109375" style="2" bestFit="1" customWidth="1"/>
    <col min="18" max="18" width="155.5703125" bestFit="1" customWidth="1"/>
  </cols>
  <sheetData>
    <row r="1" spans="1:18" x14ac:dyDescent="0.25">
      <c r="A1" t="s">
        <v>786</v>
      </c>
      <c r="D1" s="4" t="s">
        <v>791</v>
      </c>
      <c r="E1" s="3">
        <v>14</v>
      </c>
      <c r="F1" s="5" t="s">
        <v>792</v>
      </c>
      <c r="G1" s="3">
        <v>4</v>
      </c>
      <c r="H1" s="2" t="s">
        <v>787</v>
      </c>
      <c r="I1" s="2" t="s">
        <v>788</v>
      </c>
      <c r="K1" t="s">
        <v>789</v>
      </c>
      <c r="R1" t="s">
        <v>790</v>
      </c>
    </row>
    <row r="2" spans="1:18" x14ac:dyDescent="0.25">
      <c r="A2">
        <v>11274</v>
      </c>
      <c r="B2" t="s">
        <v>408</v>
      </c>
      <c r="C2" t="s">
        <v>276</v>
      </c>
      <c r="D2" t="s">
        <v>409</v>
      </c>
      <c r="E2" t="s">
        <v>242</v>
      </c>
      <c r="F2">
        <v>383</v>
      </c>
      <c r="H2" s="2">
        <f>COUNTIF(K:K,A2)</f>
        <v>1</v>
      </c>
      <c r="I2" s="2">
        <f>IF(COUNTIF(A:A,K2)=0,1,0)</f>
        <v>0</v>
      </c>
      <c r="K2">
        <v>11274</v>
      </c>
      <c r="L2" t="s">
        <v>408</v>
      </c>
      <c r="M2" t="s">
        <v>276</v>
      </c>
      <c r="N2">
        <v>13</v>
      </c>
      <c r="O2" t="s">
        <v>242</v>
      </c>
      <c r="P2">
        <v>383</v>
      </c>
      <c r="R2" t="str">
        <f ca="1">IFERROR(IF(VLOOKUP(K2,A:F,6,FALSE)&lt;&gt;P2,"INSERT INTO playerTPEHistory ( playerID, playerTPE, historyDate, historySeason, historyWeek, historyLeague ) VALUES ("&amp;K2&amp;", "&amp;F2&amp;", '"&amp;TEXT(NOW(),"yyyy-mm-dd")&amp;"', "&amp;$E$1&amp;", "&amp;$G$1&amp;", '"&amp;VLOOKUP(E2,Index!B:C,2,FALSE)&amp;" ' );",""),"")</f>
        <v/>
      </c>
    </row>
    <row r="3" spans="1:18" x14ac:dyDescent="0.25">
      <c r="A3">
        <v>11050</v>
      </c>
      <c r="B3" t="s">
        <v>410</v>
      </c>
      <c r="C3" t="s">
        <v>278</v>
      </c>
      <c r="D3" t="s">
        <v>411</v>
      </c>
      <c r="E3" t="s">
        <v>242</v>
      </c>
      <c r="F3">
        <v>273</v>
      </c>
      <c r="H3" s="2">
        <f>COUNTIF(K:K,A3)</f>
        <v>1</v>
      </c>
      <c r="I3" s="2">
        <f t="shared" ref="I3:I66" si="0">IF(COUNTIF(A:A,K3)=0,1,0)</f>
        <v>0</v>
      </c>
      <c r="K3">
        <v>11050</v>
      </c>
      <c r="L3" t="s">
        <v>410</v>
      </c>
      <c r="M3" t="s">
        <v>278</v>
      </c>
      <c r="N3">
        <v>12</v>
      </c>
      <c r="O3" t="s">
        <v>242</v>
      </c>
      <c r="P3">
        <v>273</v>
      </c>
      <c r="R3" t="str">
        <f ca="1">IFERROR(IF(VLOOKUP(K3,A:F,6,FALSE)&lt;&gt;P3,"INSERT INTO playerTPEHistory ( playerID, playerTPE, historyDate, historySeason, historyWeek, historyLeague ) VALUES ("&amp;K3&amp;", "&amp;F3&amp;", '"&amp;TEXT(NOW(),"yyyy-mm-dd")&amp;"', "&amp;$E$1&amp;", "&amp;$G$1&amp;", '"&amp;VLOOKUP(E3,Index!B:C,2,FALSE)&amp;" ' );",""),"")</f>
        <v/>
      </c>
    </row>
    <row r="4" spans="1:18" x14ac:dyDescent="0.25">
      <c r="A4">
        <v>11045</v>
      </c>
      <c r="B4" t="s">
        <v>412</v>
      </c>
      <c r="C4" t="s">
        <v>274</v>
      </c>
      <c r="D4" t="s">
        <v>411</v>
      </c>
      <c r="E4" t="s">
        <v>242</v>
      </c>
      <c r="F4">
        <v>257</v>
      </c>
      <c r="H4" s="2">
        <f>COUNTIF(K:K,A4)</f>
        <v>1</v>
      </c>
      <c r="I4" s="2">
        <f t="shared" si="0"/>
        <v>0</v>
      </c>
      <c r="K4">
        <v>11045</v>
      </c>
      <c r="L4" t="s">
        <v>412</v>
      </c>
      <c r="M4" t="s">
        <v>274</v>
      </c>
      <c r="N4">
        <v>12</v>
      </c>
      <c r="O4" t="s">
        <v>242</v>
      </c>
      <c r="P4">
        <v>257</v>
      </c>
      <c r="R4" t="str">
        <f ca="1">IFERROR(IF(VLOOKUP(K4,A:F,6,FALSE)&lt;&gt;P4,"INSERT INTO playerTPEHistory ( playerID, playerTPE, historyDate, historySeason, historyWeek, historyLeague ) VALUES ("&amp;K4&amp;", "&amp;F4&amp;", '"&amp;TEXT(NOW(),"yyyy-mm-dd")&amp;"', "&amp;$E$1&amp;", "&amp;$G$1&amp;", '"&amp;VLOOKUP(E4,Index!B:C,2,FALSE)&amp;" ' );",""),"")</f>
        <v/>
      </c>
    </row>
    <row r="5" spans="1:18" x14ac:dyDescent="0.25">
      <c r="A5">
        <v>11019</v>
      </c>
      <c r="B5" t="s">
        <v>413</v>
      </c>
      <c r="C5" t="s">
        <v>275</v>
      </c>
      <c r="D5" t="s">
        <v>411</v>
      </c>
      <c r="E5" t="s">
        <v>242</v>
      </c>
      <c r="F5">
        <v>595</v>
      </c>
      <c r="H5" s="2">
        <f>COUNTIF(K:K,A5)</f>
        <v>1</v>
      </c>
      <c r="I5" s="2">
        <f t="shared" si="0"/>
        <v>0</v>
      </c>
      <c r="K5">
        <v>11019</v>
      </c>
      <c r="L5" t="s">
        <v>413</v>
      </c>
      <c r="M5" t="s">
        <v>275</v>
      </c>
      <c r="N5">
        <v>12</v>
      </c>
      <c r="O5" t="s">
        <v>242</v>
      </c>
      <c r="P5">
        <v>484</v>
      </c>
      <c r="R5" t="str">
        <f ca="1">IFERROR(IF(VLOOKUP(K5,A:F,6,FALSE)&lt;&gt;P5,"INSERT INTO playerTPEHistory ( playerID, playerTPE, historyDate, historySeason, historyWeek, historyLeague ) VALUES ("&amp;K5&amp;", "&amp;F5&amp;", '"&amp;TEXT(NOW(),"yyyy-mm-dd")&amp;"', "&amp;$E$1&amp;", "&amp;$G$1&amp;", '"&amp;VLOOKUP(E5,Index!B:C,2,FALSE)&amp;" ' );",""),"")</f>
        <v>INSERT INTO playerTPEHistory ( playerID, playerTPE, historyDate, historySeason, historyWeek, historyLeague ) VALUES (11019, 595, '2019-04-01', 14, 4, 'NSFL ' );</v>
      </c>
    </row>
    <row r="6" spans="1:18" x14ac:dyDescent="0.25">
      <c r="A6">
        <v>10732</v>
      </c>
      <c r="B6" t="s">
        <v>414</v>
      </c>
      <c r="C6" t="s">
        <v>280</v>
      </c>
      <c r="D6" t="s">
        <v>411</v>
      </c>
      <c r="E6" t="s">
        <v>242</v>
      </c>
      <c r="F6">
        <v>124</v>
      </c>
      <c r="H6" s="2">
        <f>COUNTIF(K:K,A6)</f>
        <v>1</v>
      </c>
      <c r="I6" s="2">
        <f t="shared" si="0"/>
        <v>0</v>
      </c>
      <c r="K6">
        <v>10732</v>
      </c>
      <c r="L6" t="s">
        <v>414</v>
      </c>
      <c r="M6" t="s">
        <v>280</v>
      </c>
      <c r="N6">
        <v>12</v>
      </c>
      <c r="O6" t="s">
        <v>242</v>
      </c>
      <c r="P6">
        <v>124</v>
      </c>
      <c r="R6" t="str">
        <f ca="1">IFERROR(IF(VLOOKUP(K6,A:F,6,FALSE)&lt;&gt;P6,"INSERT INTO playerTPEHistory ( playerID, playerTPE, historyDate, historySeason, historyWeek, historyLeague ) VALUES ("&amp;K6&amp;", "&amp;F6&amp;", '"&amp;TEXT(NOW(),"yyyy-mm-dd")&amp;"', "&amp;$E$1&amp;", "&amp;$G$1&amp;", '"&amp;VLOOKUP(E6,Index!B:C,2,FALSE)&amp;" ' );",""),"")</f>
        <v/>
      </c>
    </row>
    <row r="7" spans="1:18" x14ac:dyDescent="0.25">
      <c r="A7">
        <v>10671</v>
      </c>
      <c r="B7" t="s">
        <v>415</v>
      </c>
      <c r="C7" t="s">
        <v>275</v>
      </c>
      <c r="D7" t="s">
        <v>411</v>
      </c>
      <c r="E7" t="s">
        <v>242</v>
      </c>
      <c r="F7">
        <v>479</v>
      </c>
      <c r="H7" s="2">
        <f>COUNTIF(K:K,A7)</f>
        <v>1</v>
      </c>
      <c r="I7" s="2">
        <f t="shared" si="0"/>
        <v>0</v>
      </c>
      <c r="K7">
        <v>10671</v>
      </c>
      <c r="L7" t="s">
        <v>415</v>
      </c>
      <c r="M7" t="s">
        <v>275</v>
      </c>
      <c r="N7">
        <v>12</v>
      </c>
      <c r="O7" t="s">
        <v>242</v>
      </c>
      <c r="P7">
        <v>470</v>
      </c>
      <c r="R7" t="str">
        <f ca="1">IFERROR(IF(VLOOKUP(K7,A:F,6,FALSE)&lt;&gt;P7,"INSERT INTO playerTPEHistory ( playerID, playerTPE, historyDate, historySeason, historyWeek, historyLeague ) VALUES ("&amp;K7&amp;", "&amp;F7&amp;", '"&amp;TEXT(NOW(),"yyyy-mm-dd")&amp;"', "&amp;$E$1&amp;", "&amp;$G$1&amp;", '"&amp;VLOOKUP(E7,Index!B:C,2,FALSE)&amp;" ' );",""),"")</f>
        <v>INSERT INTO playerTPEHistory ( playerID, playerTPE, historyDate, historySeason, historyWeek, historyLeague ) VALUES (10671, 479, '2019-04-01', 14, 4, 'NSFL ' );</v>
      </c>
    </row>
    <row r="8" spans="1:18" x14ac:dyDescent="0.25">
      <c r="A8">
        <v>10513</v>
      </c>
      <c r="B8" t="s">
        <v>416</v>
      </c>
      <c r="C8" t="s">
        <v>278</v>
      </c>
      <c r="D8" t="s">
        <v>411</v>
      </c>
      <c r="E8" t="s">
        <v>242</v>
      </c>
      <c r="F8">
        <v>633</v>
      </c>
      <c r="H8" s="2">
        <f>COUNTIF(K:K,A8)</f>
        <v>1</v>
      </c>
      <c r="I8" s="2">
        <f t="shared" si="0"/>
        <v>0</v>
      </c>
      <c r="K8">
        <v>10513</v>
      </c>
      <c r="L8" t="s">
        <v>416</v>
      </c>
      <c r="M8" t="s">
        <v>278</v>
      </c>
      <c r="N8">
        <v>12</v>
      </c>
      <c r="O8" t="s">
        <v>242</v>
      </c>
      <c r="P8">
        <v>626</v>
      </c>
      <c r="R8" t="str">
        <f ca="1">IFERROR(IF(VLOOKUP(K8,A:F,6,FALSE)&lt;&gt;P8,"INSERT INTO playerTPEHistory ( playerID, playerTPE, historyDate, historySeason, historyWeek, historyLeague ) VALUES ("&amp;K8&amp;", "&amp;F8&amp;", '"&amp;TEXT(NOW(),"yyyy-mm-dd")&amp;"', "&amp;$E$1&amp;", "&amp;$G$1&amp;", '"&amp;VLOOKUP(E8,Index!B:C,2,FALSE)&amp;" ' );",""),"")</f>
        <v>INSERT INTO playerTPEHistory ( playerID, playerTPE, historyDate, historySeason, historyWeek, historyLeague ) VALUES (10513, 633, '2019-04-01', 14, 4, 'NSFL ' );</v>
      </c>
    </row>
    <row r="9" spans="1:18" x14ac:dyDescent="0.25">
      <c r="A9">
        <v>10212</v>
      </c>
      <c r="B9" t="s">
        <v>417</v>
      </c>
      <c r="C9" t="s">
        <v>282</v>
      </c>
      <c r="D9" t="s">
        <v>418</v>
      </c>
      <c r="E9" t="s">
        <v>242</v>
      </c>
      <c r="F9">
        <v>689</v>
      </c>
      <c r="H9" s="2">
        <f>COUNTIF(K:K,A9)</f>
        <v>1</v>
      </c>
      <c r="I9" s="2">
        <f t="shared" si="0"/>
        <v>0</v>
      </c>
      <c r="K9">
        <v>10212</v>
      </c>
      <c r="L9" t="s">
        <v>417</v>
      </c>
      <c r="M9" t="s">
        <v>282</v>
      </c>
      <c r="N9">
        <v>11</v>
      </c>
      <c r="O9" t="s">
        <v>242</v>
      </c>
      <c r="P9">
        <v>576</v>
      </c>
      <c r="R9" t="str">
        <f ca="1">IFERROR(IF(VLOOKUP(K9,A:F,6,FALSE)&lt;&gt;P9,"INSERT INTO playerTPEHistory ( playerID, playerTPE, historyDate, historySeason, historyWeek, historyLeague ) VALUES ("&amp;K9&amp;", "&amp;F9&amp;", '"&amp;TEXT(NOW(),"yyyy-mm-dd")&amp;"', "&amp;$E$1&amp;", "&amp;$G$1&amp;", '"&amp;VLOOKUP(E9,Index!B:C,2,FALSE)&amp;" ' );",""),"")</f>
        <v>INSERT INTO playerTPEHistory ( playerID, playerTPE, historyDate, historySeason, historyWeek, historyLeague ) VALUES (10212, 689, '2019-04-01', 14, 4, 'NSFL ' );</v>
      </c>
    </row>
    <row r="10" spans="1:18" x14ac:dyDescent="0.25">
      <c r="A10">
        <v>10134</v>
      </c>
      <c r="B10" t="s">
        <v>419</v>
      </c>
      <c r="C10" t="s">
        <v>281</v>
      </c>
      <c r="D10" t="s">
        <v>418</v>
      </c>
      <c r="E10" t="s">
        <v>242</v>
      </c>
      <c r="F10">
        <v>284</v>
      </c>
      <c r="H10" s="2">
        <f>COUNTIF(K:K,A10)</f>
        <v>1</v>
      </c>
      <c r="I10" s="2">
        <f t="shared" si="0"/>
        <v>0</v>
      </c>
      <c r="K10">
        <v>10134</v>
      </c>
      <c r="L10" t="s">
        <v>419</v>
      </c>
      <c r="M10" t="s">
        <v>281</v>
      </c>
      <c r="N10">
        <v>11</v>
      </c>
      <c r="O10" t="s">
        <v>242</v>
      </c>
      <c r="P10">
        <v>284</v>
      </c>
      <c r="R10" t="str">
        <f ca="1">IFERROR(IF(VLOOKUP(K10,A:F,6,FALSE)&lt;&gt;P10,"INSERT INTO playerTPEHistory ( playerID, playerTPE, historyDate, historySeason, historyWeek, historyLeague ) VALUES ("&amp;K10&amp;", "&amp;F10&amp;", '"&amp;TEXT(NOW(),"yyyy-mm-dd")&amp;"', "&amp;$E$1&amp;", "&amp;$G$1&amp;", '"&amp;VLOOKUP(E10,Index!B:C,2,FALSE)&amp;" ' );",""),"")</f>
        <v/>
      </c>
    </row>
    <row r="11" spans="1:18" x14ac:dyDescent="0.25">
      <c r="A11">
        <v>10052</v>
      </c>
      <c r="B11" t="s">
        <v>420</v>
      </c>
      <c r="C11" t="s">
        <v>278</v>
      </c>
      <c r="D11" t="s">
        <v>418</v>
      </c>
      <c r="E11" t="s">
        <v>242</v>
      </c>
      <c r="F11">
        <v>216</v>
      </c>
      <c r="H11" s="2">
        <f>COUNTIF(K:K,A11)</f>
        <v>1</v>
      </c>
      <c r="I11" s="2">
        <f t="shared" si="0"/>
        <v>0</v>
      </c>
      <c r="K11">
        <v>10052</v>
      </c>
      <c r="L11" t="s">
        <v>420</v>
      </c>
      <c r="M11" t="s">
        <v>278</v>
      </c>
      <c r="N11">
        <v>11</v>
      </c>
      <c r="O11" t="s">
        <v>242</v>
      </c>
      <c r="P11">
        <v>216</v>
      </c>
      <c r="R11" t="str">
        <f ca="1">IFERROR(IF(VLOOKUP(K11,A:F,6,FALSE)&lt;&gt;P11,"INSERT INTO playerTPEHistory ( playerID, playerTPE, historyDate, historySeason, historyWeek, historyLeague ) VALUES ("&amp;K11&amp;", "&amp;F11&amp;", '"&amp;TEXT(NOW(),"yyyy-mm-dd")&amp;"', "&amp;$E$1&amp;", "&amp;$G$1&amp;", '"&amp;VLOOKUP(E11,Index!B:C,2,FALSE)&amp;" ' );",""),"")</f>
        <v/>
      </c>
    </row>
    <row r="12" spans="1:18" x14ac:dyDescent="0.25">
      <c r="A12">
        <v>9979</v>
      </c>
      <c r="B12" t="s">
        <v>421</v>
      </c>
      <c r="C12" t="s">
        <v>278</v>
      </c>
      <c r="D12" t="s">
        <v>418</v>
      </c>
      <c r="E12" t="s">
        <v>242</v>
      </c>
      <c r="F12">
        <v>458</v>
      </c>
      <c r="H12" s="2">
        <f>COUNTIF(K:K,A12)</f>
        <v>1</v>
      </c>
      <c r="I12" s="2">
        <f t="shared" si="0"/>
        <v>0</v>
      </c>
      <c r="K12">
        <v>9979</v>
      </c>
      <c r="L12" t="s">
        <v>421</v>
      </c>
      <c r="M12" t="s">
        <v>278</v>
      </c>
      <c r="N12">
        <v>11</v>
      </c>
      <c r="O12" t="s">
        <v>242</v>
      </c>
      <c r="P12">
        <v>451</v>
      </c>
      <c r="R12" t="str">
        <f ca="1">IFERROR(IF(VLOOKUP(K12,A:F,6,FALSE)&lt;&gt;P12,"INSERT INTO playerTPEHistory ( playerID, playerTPE, historyDate, historySeason, historyWeek, historyLeague ) VALUES ("&amp;K12&amp;", "&amp;F12&amp;", '"&amp;TEXT(NOW(),"yyyy-mm-dd")&amp;"', "&amp;$E$1&amp;", "&amp;$G$1&amp;", '"&amp;VLOOKUP(E12,Index!B:C,2,FALSE)&amp;" ' );",""),"")</f>
        <v>INSERT INTO playerTPEHistory ( playerID, playerTPE, historyDate, historySeason, historyWeek, historyLeague ) VALUES (9979, 458, '2019-04-01', 14, 4, 'NSFL ' );</v>
      </c>
    </row>
    <row r="13" spans="1:18" x14ac:dyDescent="0.25">
      <c r="A13">
        <v>9472</v>
      </c>
      <c r="B13" t="s">
        <v>422</v>
      </c>
      <c r="C13" t="s">
        <v>276</v>
      </c>
      <c r="D13" t="s">
        <v>423</v>
      </c>
      <c r="E13" t="s">
        <v>242</v>
      </c>
      <c r="F13">
        <v>752</v>
      </c>
      <c r="H13" s="2">
        <f>COUNTIF(K:K,A13)</f>
        <v>1</v>
      </c>
      <c r="I13" s="2">
        <f t="shared" si="0"/>
        <v>0</v>
      </c>
      <c r="K13">
        <v>9472</v>
      </c>
      <c r="L13" t="s">
        <v>422</v>
      </c>
      <c r="M13" t="s">
        <v>276</v>
      </c>
      <c r="N13">
        <v>10</v>
      </c>
      <c r="O13" t="s">
        <v>242</v>
      </c>
      <c r="P13">
        <v>743</v>
      </c>
      <c r="R13" t="str">
        <f ca="1">IFERROR(IF(VLOOKUP(K13,A:F,6,FALSE)&lt;&gt;P13,"INSERT INTO playerTPEHistory ( playerID, playerTPE, historyDate, historySeason, historyWeek, historyLeague ) VALUES ("&amp;K13&amp;", "&amp;F13&amp;", '"&amp;TEXT(NOW(),"yyyy-mm-dd")&amp;"', "&amp;$E$1&amp;", "&amp;$G$1&amp;", '"&amp;VLOOKUP(E13,Index!B:C,2,FALSE)&amp;" ' );",""),"")</f>
        <v>INSERT INTO playerTPEHistory ( playerID, playerTPE, historyDate, historySeason, historyWeek, historyLeague ) VALUES (9472, 752, '2019-04-01', 14, 4, 'NSFL ' );</v>
      </c>
    </row>
    <row r="14" spans="1:18" x14ac:dyDescent="0.25">
      <c r="A14">
        <v>9383</v>
      </c>
      <c r="B14" t="s">
        <v>424</v>
      </c>
      <c r="C14" t="s">
        <v>282</v>
      </c>
      <c r="D14" t="s">
        <v>423</v>
      </c>
      <c r="E14" t="s">
        <v>242</v>
      </c>
      <c r="F14">
        <v>461</v>
      </c>
      <c r="H14" s="2">
        <f>COUNTIF(K:K,A14)</f>
        <v>1</v>
      </c>
      <c r="I14" s="2">
        <f t="shared" si="0"/>
        <v>0</v>
      </c>
      <c r="K14">
        <v>9383</v>
      </c>
      <c r="L14" t="s">
        <v>424</v>
      </c>
      <c r="M14" t="s">
        <v>282</v>
      </c>
      <c r="N14">
        <v>10</v>
      </c>
      <c r="O14" t="s">
        <v>242</v>
      </c>
      <c r="P14">
        <v>461</v>
      </c>
      <c r="R14" t="str">
        <f ca="1">IFERROR(IF(VLOOKUP(K14,A:F,6,FALSE)&lt;&gt;P14,"INSERT INTO playerTPEHistory ( playerID, playerTPE, historyDate, historySeason, historyWeek, historyLeague ) VALUES ("&amp;K14&amp;", "&amp;F14&amp;", '"&amp;TEXT(NOW(),"yyyy-mm-dd")&amp;"', "&amp;$E$1&amp;", "&amp;$G$1&amp;", '"&amp;VLOOKUP(E14,Index!B:C,2,FALSE)&amp;" ' );",""),"")</f>
        <v/>
      </c>
    </row>
    <row r="15" spans="1:18" x14ac:dyDescent="0.25">
      <c r="A15">
        <v>9381</v>
      </c>
      <c r="B15" t="s">
        <v>425</v>
      </c>
      <c r="C15" t="s">
        <v>278</v>
      </c>
      <c r="D15" t="s">
        <v>423</v>
      </c>
      <c r="E15" t="s">
        <v>242</v>
      </c>
      <c r="F15">
        <v>1018</v>
      </c>
      <c r="H15" s="2">
        <f>COUNTIF(K:K,A15)</f>
        <v>1</v>
      </c>
      <c r="I15" s="2">
        <f t="shared" si="0"/>
        <v>0</v>
      </c>
      <c r="K15">
        <v>9381</v>
      </c>
      <c r="L15" t="s">
        <v>425</v>
      </c>
      <c r="M15" t="s">
        <v>278</v>
      </c>
      <c r="N15">
        <v>10</v>
      </c>
      <c r="O15" t="s">
        <v>242</v>
      </c>
      <c r="P15">
        <v>1007</v>
      </c>
      <c r="R15" t="str">
        <f ca="1">IFERROR(IF(VLOOKUP(K15,A:F,6,FALSE)&lt;&gt;P15,"INSERT INTO playerTPEHistory ( playerID, playerTPE, historyDate, historySeason, historyWeek, historyLeague ) VALUES ("&amp;K15&amp;", "&amp;F15&amp;", '"&amp;TEXT(NOW(),"yyyy-mm-dd")&amp;"', "&amp;$E$1&amp;", "&amp;$G$1&amp;", '"&amp;VLOOKUP(E15,Index!B:C,2,FALSE)&amp;" ' );",""),"")</f>
        <v>INSERT INTO playerTPEHistory ( playerID, playerTPE, historyDate, historySeason, historyWeek, historyLeague ) VALUES (9381, 1018, '2019-04-01', 14, 4, 'NSFL ' );</v>
      </c>
    </row>
    <row r="16" spans="1:18" x14ac:dyDescent="0.25">
      <c r="A16">
        <v>9239</v>
      </c>
      <c r="B16" t="s">
        <v>426</v>
      </c>
      <c r="C16" t="s">
        <v>281</v>
      </c>
      <c r="D16" t="s">
        <v>423</v>
      </c>
      <c r="E16" t="s">
        <v>242</v>
      </c>
      <c r="F16">
        <v>1063</v>
      </c>
      <c r="H16" s="2">
        <f>COUNTIF(K:K,A16)</f>
        <v>1</v>
      </c>
      <c r="I16" s="2">
        <f t="shared" si="0"/>
        <v>0</v>
      </c>
      <c r="K16">
        <v>9239</v>
      </c>
      <c r="L16" t="s">
        <v>426</v>
      </c>
      <c r="M16" t="s">
        <v>281</v>
      </c>
      <c r="N16">
        <v>10</v>
      </c>
      <c r="O16" t="s">
        <v>242</v>
      </c>
      <c r="P16">
        <v>1052</v>
      </c>
      <c r="R16" t="str">
        <f ca="1">IFERROR(IF(VLOOKUP(K16,A:F,6,FALSE)&lt;&gt;P16,"INSERT INTO playerTPEHistory ( playerID, playerTPE, historyDate, historySeason, historyWeek, historyLeague ) VALUES ("&amp;K16&amp;", "&amp;F16&amp;", '"&amp;TEXT(NOW(),"yyyy-mm-dd")&amp;"', "&amp;$E$1&amp;", "&amp;$G$1&amp;", '"&amp;VLOOKUP(E16,Index!B:C,2,FALSE)&amp;" ' );",""),"")</f>
        <v>INSERT INTO playerTPEHistory ( playerID, playerTPE, historyDate, historySeason, historyWeek, historyLeague ) VALUES (9239, 1063, '2019-04-01', 14, 4, 'NSFL ' );</v>
      </c>
    </row>
    <row r="17" spans="1:18" x14ac:dyDescent="0.25">
      <c r="A17">
        <v>9189</v>
      </c>
      <c r="B17" t="s">
        <v>427</v>
      </c>
      <c r="C17" t="s">
        <v>283</v>
      </c>
      <c r="D17" t="s">
        <v>423</v>
      </c>
      <c r="E17" t="s">
        <v>242</v>
      </c>
      <c r="F17">
        <v>898</v>
      </c>
      <c r="H17" s="2">
        <f>COUNTIF(K:K,A17)</f>
        <v>1</v>
      </c>
      <c r="I17" s="2">
        <f t="shared" si="0"/>
        <v>0</v>
      </c>
      <c r="K17">
        <v>9189</v>
      </c>
      <c r="L17" t="s">
        <v>427</v>
      </c>
      <c r="M17" t="s">
        <v>283</v>
      </c>
      <c r="N17">
        <v>10</v>
      </c>
      <c r="O17" t="s">
        <v>242</v>
      </c>
      <c r="P17">
        <v>884</v>
      </c>
      <c r="R17" t="str">
        <f ca="1">IFERROR(IF(VLOOKUP(K17,A:F,6,FALSE)&lt;&gt;P17,"INSERT INTO playerTPEHistory ( playerID, playerTPE, historyDate, historySeason, historyWeek, historyLeague ) VALUES ("&amp;K17&amp;", "&amp;F17&amp;", '"&amp;TEXT(NOW(),"yyyy-mm-dd")&amp;"', "&amp;$E$1&amp;", "&amp;$G$1&amp;", '"&amp;VLOOKUP(E17,Index!B:C,2,FALSE)&amp;" ' );",""),"")</f>
        <v>INSERT INTO playerTPEHistory ( playerID, playerTPE, historyDate, historySeason, historyWeek, historyLeague ) VALUES (9189, 898, '2019-04-01', 14, 4, 'NSFL ' );</v>
      </c>
    </row>
    <row r="18" spans="1:18" x14ac:dyDescent="0.25">
      <c r="A18">
        <v>8851</v>
      </c>
      <c r="B18" t="s">
        <v>428</v>
      </c>
      <c r="C18" t="s">
        <v>277</v>
      </c>
      <c r="D18" t="s">
        <v>429</v>
      </c>
      <c r="E18" t="s">
        <v>242</v>
      </c>
      <c r="F18">
        <v>1078</v>
      </c>
      <c r="H18" s="2">
        <f>COUNTIF(K:K,A18)</f>
        <v>1</v>
      </c>
      <c r="I18" s="2">
        <f t="shared" si="0"/>
        <v>0</v>
      </c>
      <c r="K18">
        <v>8851</v>
      </c>
      <c r="L18" t="s">
        <v>428</v>
      </c>
      <c r="M18" t="s">
        <v>277</v>
      </c>
      <c r="N18">
        <v>9</v>
      </c>
      <c r="O18" t="s">
        <v>242</v>
      </c>
      <c r="P18">
        <v>1045</v>
      </c>
      <c r="R18" t="str">
        <f ca="1">IFERROR(IF(VLOOKUP(K18,A:F,6,FALSE)&lt;&gt;P18,"INSERT INTO playerTPEHistory ( playerID, playerTPE, historyDate, historySeason, historyWeek, historyLeague ) VALUES ("&amp;K18&amp;", "&amp;F18&amp;", '"&amp;TEXT(NOW(),"yyyy-mm-dd")&amp;"', "&amp;$E$1&amp;", "&amp;$G$1&amp;", '"&amp;VLOOKUP(E18,Index!B:C,2,FALSE)&amp;" ' );",""),"")</f>
        <v>INSERT INTO playerTPEHistory ( playerID, playerTPE, historyDate, historySeason, historyWeek, historyLeague ) VALUES (8851, 1078, '2019-04-01', 14, 4, 'NSFL ' );</v>
      </c>
    </row>
    <row r="19" spans="1:18" x14ac:dyDescent="0.25">
      <c r="A19">
        <v>8717</v>
      </c>
      <c r="B19" t="s">
        <v>430</v>
      </c>
      <c r="C19" t="s">
        <v>281</v>
      </c>
      <c r="D19" t="s">
        <v>429</v>
      </c>
      <c r="E19" t="s">
        <v>242</v>
      </c>
      <c r="F19">
        <v>946</v>
      </c>
      <c r="H19" s="2">
        <f>COUNTIF(K:K,A19)</f>
        <v>1</v>
      </c>
      <c r="I19" s="2">
        <f t="shared" si="0"/>
        <v>0</v>
      </c>
      <c r="K19">
        <v>8717</v>
      </c>
      <c r="L19" t="s">
        <v>430</v>
      </c>
      <c r="M19" t="s">
        <v>281</v>
      </c>
      <c r="N19">
        <v>9</v>
      </c>
      <c r="O19" t="s">
        <v>242</v>
      </c>
      <c r="P19">
        <v>935</v>
      </c>
      <c r="R19" t="str">
        <f ca="1">IFERROR(IF(VLOOKUP(K19,A:F,6,FALSE)&lt;&gt;P19,"INSERT INTO playerTPEHistory ( playerID, playerTPE, historyDate, historySeason, historyWeek, historyLeague ) VALUES ("&amp;K19&amp;", "&amp;F19&amp;", '"&amp;TEXT(NOW(),"yyyy-mm-dd")&amp;"', "&amp;$E$1&amp;", "&amp;$G$1&amp;", '"&amp;VLOOKUP(E19,Index!B:C,2,FALSE)&amp;" ' );",""),"")</f>
        <v>INSERT INTO playerTPEHistory ( playerID, playerTPE, historyDate, historySeason, historyWeek, historyLeague ) VALUES (8717, 946, '2019-04-01', 14, 4, 'NSFL ' );</v>
      </c>
    </row>
    <row r="20" spans="1:18" x14ac:dyDescent="0.25">
      <c r="A20">
        <v>8551</v>
      </c>
      <c r="B20" t="s">
        <v>431</v>
      </c>
      <c r="C20" t="s">
        <v>280</v>
      </c>
      <c r="D20" t="s">
        <v>429</v>
      </c>
      <c r="E20" t="s">
        <v>242</v>
      </c>
      <c r="F20">
        <v>581</v>
      </c>
      <c r="H20" s="2">
        <f>COUNTIF(K:K,A20)</f>
        <v>1</v>
      </c>
      <c r="I20" s="2">
        <f t="shared" si="0"/>
        <v>0</v>
      </c>
      <c r="K20">
        <v>8551</v>
      </c>
      <c r="L20" t="s">
        <v>431</v>
      </c>
      <c r="M20" t="s">
        <v>280</v>
      </c>
      <c r="N20">
        <v>9</v>
      </c>
      <c r="O20" t="s">
        <v>242</v>
      </c>
      <c r="P20">
        <v>581</v>
      </c>
      <c r="R20" t="str">
        <f ca="1">IFERROR(IF(VLOOKUP(K20,A:F,6,FALSE)&lt;&gt;P20,"INSERT INTO playerTPEHistory ( playerID, playerTPE, historyDate, historySeason, historyWeek, historyLeague ) VALUES ("&amp;K20&amp;", "&amp;F20&amp;", '"&amp;TEXT(NOW(),"yyyy-mm-dd")&amp;"', "&amp;$E$1&amp;", "&amp;$G$1&amp;", '"&amp;VLOOKUP(E20,Index!B:C,2,FALSE)&amp;" ' );",""),"")</f>
        <v/>
      </c>
    </row>
    <row r="21" spans="1:18" x14ac:dyDescent="0.25">
      <c r="A21">
        <v>7933</v>
      </c>
      <c r="B21" t="s">
        <v>432</v>
      </c>
      <c r="C21" t="s">
        <v>275</v>
      </c>
      <c r="D21" t="s">
        <v>433</v>
      </c>
      <c r="E21" t="s">
        <v>242</v>
      </c>
      <c r="F21">
        <v>742</v>
      </c>
      <c r="H21" s="2">
        <f>COUNTIF(K:K,A21)</f>
        <v>1</v>
      </c>
      <c r="I21" s="2">
        <f t="shared" si="0"/>
        <v>0</v>
      </c>
      <c r="K21">
        <v>7933</v>
      </c>
      <c r="L21" t="s">
        <v>432</v>
      </c>
      <c r="M21" t="s">
        <v>275</v>
      </c>
      <c r="N21">
        <v>8</v>
      </c>
      <c r="O21" t="s">
        <v>242</v>
      </c>
      <c r="P21">
        <v>742</v>
      </c>
      <c r="R21" t="str">
        <f ca="1">IFERROR(IF(VLOOKUP(K21,A:F,6,FALSE)&lt;&gt;P21,"INSERT INTO playerTPEHistory ( playerID, playerTPE, historyDate, historySeason, historyWeek, historyLeague ) VALUES ("&amp;K21&amp;", "&amp;F21&amp;", '"&amp;TEXT(NOW(),"yyyy-mm-dd")&amp;"', "&amp;$E$1&amp;", "&amp;$G$1&amp;", '"&amp;VLOOKUP(E21,Index!B:C,2,FALSE)&amp;" ' );",""),"")</f>
        <v/>
      </c>
    </row>
    <row r="22" spans="1:18" x14ac:dyDescent="0.25">
      <c r="A22">
        <v>7930</v>
      </c>
      <c r="B22" t="s">
        <v>434</v>
      </c>
      <c r="C22" t="s">
        <v>277</v>
      </c>
      <c r="D22" t="s">
        <v>433</v>
      </c>
      <c r="E22" t="s">
        <v>242</v>
      </c>
      <c r="F22">
        <v>1179</v>
      </c>
      <c r="H22" s="2">
        <f>COUNTIF(K:K,A22)</f>
        <v>1</v>
      </c>
      <c r="I22" s="2">
        <f t="shared" si="0"/>
        <v>0</v>
      </c>
      <c r="K22">
        <v>7930</v>
      </c>
      <c r="L22" t="s">
        <v>434</v>
      </c>
      <c r="M22" t="s">
        <v>277</v>
      </c>
      <c r="N22">
        <v>8</v>
      </c>
      <c r="O22" t="s">
        <v>242</v>
      </c>
      <c r="P22">
        <v>1159</v>
      </c>
      <c r="R22" t="str">
        <f ca="1">IFERROR(IF(VLOOKUP(K22,A:F,6,FALSE)&lt;&gt;P22,"INSERT INTO playerTPEHistory ( playerID, playerTPE, historyDate, historySeason, historyWeek, historyLeague ) VALUES ("&amp;K22&amp;", "&amp;F22&amp;", '"&amp;TEXT(NOW(),"yyyy-mm-dd")&amp;"', "&amp;$E$1&amp;", "&amp;$G$1&amp;", '"&amp;VLOOKUP(E22,Index!B:C,2,FALSE)&amp;" ' );",""),"")</f>
        <v>INSERT INTO playerTPEHistory ( playerID, playerTPE, historyDate, historySeason, historyWeek, historyLeague ) VALUES (7930, 1179, '2019-04-01', 14, 4, 'NSFL ' );</v>
      </c>
    </row>
    <row r="23" spans="1:18" x14ac:dyDescent="0.25">
      <c r="A23">
        <v>11114</v>
      </c>
      <c r="B23" t="s">
        <v>435</v>
      </c>
      <c r="C23" t="s">
        <v>282</v>
      </c>
      <c r="D23" t="s">
        <v>409</v>
      </c>
      <c r="E23" t="s">
        <v>243</v>
      </c>
      <c r="F23">
        <v>190</v>
      </c>
      <c r="H23" s="2">
        <f>COUNTIF(K:K,A23)</f>
        <v>1</v>
      </c>
      <c r="I23" s="2">
        <f t="shared" si="0"/>
        <v>0</v>
      </c>
      <c r="K23">
        <v>11114</v>
      </c>
      <c r="L23" t="s">
        <v>435</v>
      </c>
      <c r="M23" t="s">
        <v>282</v>
      </c>
      <c r="N23">
        <v>13</v>
      </c>
      <c r="O23" t="s">
        <v>243</v>
      </c>
      <c r="P23">
        <v>190</v>
      </c>
      <c r="R23" t="str">
        <f ca="1">IFERROR(IF(VLOOKUP(K23,A:F,6,FALSE)&lt;&gt;P23,"INSERT INTO playerTPEHistory ( playerID, playerTPE, historyDate, historySeason, historyWeek, historyLeague ) VALUES ("&amp;K23&amp;", "&amp;F23&amp;", '"&amp;TEXT(NOW(),"yyyy-mm-dd")&amp;"', "&amp;$E$1&amp;", "&amp;$G$1&amp;", '"&amp;VLOOKUP(E23,Index!B:C,2,FALSE)&amp;" ' );",""),"")</f>
        <v/>
      </c>
    </row>
    <row r="24" spans="1:18" x14ac:dyDescent="0.25">
      <c r="A24">
        <v>11163</v>
      </c>
      <c r="B24" t="s">
        <v>436</v>
      </c>
      <c r="C24" t="s">
        <v>274</v>
      </c>
      <c r="D24" t="s">
        <v>409</v>
      </c>
      <c r="E24" t="s">
        <v>243</v>
      </c>
      <c r="F24">
        <v>141</v>
      </c>
      <c r="H24" s="2">
        <f>COUNTIF(K:K,A24)</f>
        <v>1</v>
      </c>
      <c r="I24" s="2">
        <f t="shared" si="0"/>
        <v>0</v>
      </c>
      <c r="K24">
        <v>11163</v>
      </c>
      <c r="L24" t="s">
        <v>436</v>
      </c>
      <c r="M24" t="s">
        <v>274</v>
      </c>
      <c r="N24">
        <v>13</v>
      </c>
      <c r="O24" t="s">
        <v>243</v>
      </c>
      <c r="P24">
        <v>141</v>
      </c>
      <c r="R24" t="str">
        <f ca="1">IFERROR(IF(VLOOKUP(K24,A:F,6,FALSE)&lt;&gt;P24,"INSERT INTO playerTPEHistory ( playerID, playerTPE, historyDate, historySeason, historyWeek, historyLeague ) VALUES ("&amp;K24&amp;", "&amp;F24&amp;", '"&amp;TEXT(NOW(),"yyyy-mm-dd")&amp;"', "&amp;$E$1&amp;", "&amp;$G$1&amp;", '"&amp;VLOOKUP(E24,Index!B:C,2,FALSE)&amp;" ' );",""),"")</f>
        <v/>
      </c>
    </row>
    <row r="25" spans="1:18" x14ac:dyDescent="0.25">
      <c r="A25">
        <v>10598</v>
      </c>
      <c r="B25" t="s">
        <v>437</v>
      </c>
      <c r="C25" t="s">
        <v>276</v>
      </c>
      <c r="D25" t="s">
        <v>411</v>
      </c>
      <c r="E25" t="s">
        <v>243</v>
      </c>
      <c r="F25">
        <v>491</v>
      </c>
      <c r="H25" s="2">
        <f>COUNTIF(K:K,A25)</f>
        <v>1</v>
      </c>
      <c r="I25" s="2">
        <f t="shared" si="0"/>
        <v>0</v>
      </c>
      <c r="K25">
        <v>10598</v>
      </c>
      <c r="L25" t="s">
        <v>437</v>
      </c>
      <c r="M25" t="s">
        <v>276</v>
      </c>
      <c r="N25">
        <v>12</v>
      </c>
      <c r="O25" t="s">
        <v>243</v>
      </c>
      <c r="P25">
        <v>491</v>
      </c>
      <c r="R25" t="str">
        <f ca="1">IFERROR(IF(VLOOKUP(K25,A:F,6,FALSE)&lt;&gt;P25,"INSERT INTO playerTPEHistory ( playerID, playerTPE, historyDate, historySeason, historyWeek, historyLeague ) VALUES ("&amp;K25&amp;", "&amp;F25&amp;", '"&amp;TEXT(NOW(),"yyyy-mm-dd")&amp;"', "&amp;$E$1&amp;", "&amp;$G$1&amp;", '"&amp;VLOOKUP(E25,Index!B:C,2,FALSE)&amp;" ' );",""),"")</f>
        <v/>
      </c>
    </row>
    <row r="26" spans="1:18" x14ac:dyDescent="0.25">
      <c r="A26">
        <v>10629</v>
      </c>
      <c r="B26" t="s">
        <v>438</v>
      </c>
      <c r="C26" t="s">
        <v>277</v>
      </c>
      <c r="D26" t="s">
        <v>411</v>
      </c>
      <c r="E26" t="s">
        <v>243</v>
      </c>
      <c r="F26">
        <v>655</v>
      </c>
      <c r="H26" s="2">
        <f>COUNTIF(K:K,A26)</f>
        <v>1</v>
      </c>
      <c r="I26" s="2">
        <f t="shared" si="0"/>
        <v>0</v>
      </c>
      <c r="K26">
        <v>10629</v>
      </c>
      <c r="L26" t="s">
        <v>438</v>
      </c>
      <c r="M26" t="s">
        <v>277</v>
      </c>
      <c r="N26">
        <v>12</v>
      </c>
      <c r="O26" t="s">
        <v>243</v>
      </c>
      <c r="P26">
        <v>655</v>
      </c>
      <c r="R26" t="str">
        <f ca="1">IFERROR(IF(VLOOKUP(K26,A:F,6,FALSE)&lt;&gt;P26,"INSERT INTO playerTPEHistory ( playerID, playerTPE, historyDate, historySeason, historyWeek, historyLeague ) VALUES ("&amp;K26&amp;", "&amp;F26&amp;", '"&amp;TEXT(NOW(),"yyyy-mm-dd")&amp;"', "&amp;$E$1&amp;", "&amp;$G$1&amp;", '"&amp;VLOOKUP(E26,Index!B:C,2,FALSE)&amp;" ' );",""),"")</f>
        <v/>
      </c>
    </row>
    <row r="27" spans="1:18" x14ac:dyDescent="0.25">
      <c r="A27">
        <v>10480</v>
      </c>
      <c r="B27" t="s">
        <v>439</v>
      </c>
      <c r="C27" t="s">
        <v>281</v>
      </c>
      <c r="D27" t="s">
        <v>411</v>
      </c>
      <c r="E27" t="s">
        <v>243</v>
      </c>
      <c r="F27">
        <v>709</v>
      </c>
      <c r="H27" s="2">
        <f>COUNTIF(K:K,A27)</f>
        <v>1</v>
      </c>
      <c r="I27" s="2">
        <f t="shared" si="0"/>
        <v>0</v>
      </c>
      <c r="K27">
        <v>10480</v>
      </c>
      <c r="L27" t="s">
        <v>439</v>
      </c>
      <c r="M27" t="s">
        <v>281</v>
      </c>
      <c r="N27">
        <v>12</v>
      </c>
      <c r="O27" t="s">
        <v>243</v>
      </c>
      <c r="P27">
        <v>698</v>
      </c>
      <c r="R27" t="str">
        <f ca="1">IFERROR(IF(VLOOKUP(K27,A:F,6,FALSE)&lt;&gt;P27,"INSERT INTO playerTPEHistory ( playerID, playerTPE, historyDate, historySeason, historyWeek, historyLeague ) VALUES ("&amp;K27&amp;", "&amp;F27&amp;", '"&amp;TEXT(NOW(),"yyyy-mm-dd")&amp;"', "&amp;$E$1&amp;", "&amp;$G$1&amp;", '"&amp;VLOOKUP(E27,Index!B:C,2,FALSE)&amp;" ' );",""),"")</f>
        <v>INSERT INTO playerTPEHistory ( playerID, playerTPE, historyDate, historySeason, historyWeek, historyLeague ) VALUES (10480, 709, '2019-04-01', 14, 4, 'NSFL ' );</v>
      </c>
    </row>
    <row r="28" spans="1:18" x14ac:dyDescent="0.25">
      <c r="A28">
        <v>10454</v>
      </c>
      <c r="B28" t="s">
        <v>440</v>
      </c>
      <c r="C28" t="s">
        <v>278</v>
      </c>
      <c r="D28" t="s">
        <v>411</v>
      </c>
      <c r="E28" t="s">
        <v>243</v>
      </c>
      <c r="F28">
        <v>125</v>
      </c>
      <c r="H28" s="2">
        <f>COUNTIF(K:K,A28)</f>
        <v>1</v>
      </c>
      <c r="I28" s="2">
        <f t="shared" si="0"/>
        <v>0</v>
      </c>
      <c r="K28">
        <v>10454</v>
      </c>
      <c r="L28" t="s">
        <v>440</v>
      </c>
      <c r="M28" t="s">
        <v>278</v>
      </c>
      <c r="N28">
        <v>12</v>
      </c>
      <c r="O28" t="s">
        <v>243</v>
      </c>
      <c r="P28">
        <v>125</v>
      </c>
      <c r="R28" t="str">
        <f ca="1">IFERROR(IF(VLOOKUP(K28,A:F,6,FALSE)&lt;&gt;P28,"INSERT INTO playerTPEHistory ( playerID, playerTPE, historyDate, historySeason, historyWeek, historyLeague ) VALUES ("&amp;K28&amp;", "&amp;F28&amp;", '"&amp;TEXT(NOW(),"yyyy-mm-dd")&amp;"', "&amp;$E$1&amp;", "&amp;$G$1&amp;", '"&amp;VLOOKUP(E28,Index!B:C,2,FALSE)&amp;" ' );",""),"")</f>
        <v/>
      </c>
    </row>
    <row r="29" spans="1:18" x14ac:dyDescent="0.25">
      <c r="A29">
        <v>10429</v>
      </c>
      <c r="B29" t="s">
        <v>441</v>
      </c>
      <c r="C29" t="s">
        <v>278</v>
      </c>
      <c r="D29" t="s">
        <v>418</v>
      </c>
      <c r="E29" t="s">
        <v>243</v>
      </c>
      <c r="F29">
        <v>280</v>
      </c>
      <c r="H29" s="2">
        <f>COUNTIF(K:K,A29)</f>
        <v>1</v>
      </c>
      <c r="I29" s="2">
        <f t="shared" si="0"/>
        <v>0</v>
      </c>
      <c r="K29">
        <v>10429</v>
      </c>
      <c r="L29" t="s">
        <v>441</v>
      </c>
      <c r="M29" t="s">
        <v>278</v>
      </c>
      <c r="N29">
        <v>11</v>
      </c>
      <c r="O29" t="s">
        <v>243</v>
      </c>
      <c r="P29">
        <v>280</v>
      </c>
      <c r="R29" t="str">
        <f ca="1">IFERROR(IF(VLOOKUP(K29,A:F,6,FALSE)&lt;&gt;P29,"INSERT INTO playerTPEHistory ( playerID, playerTPE, historyDate, historySeason, historyWeek, historyLeague ) VALUES ("&amp;K29&amp;", "&amp;F29&amp;", '"&amp;TEXT(NOW(),"yyyy-mm-dd")&amp;"', "&amp;$E$1&amp;", "&amp;$G$1&amp;", '"&amp;VLOOKUP(E29,Index!B:C,2,FALSE)&amp;" ' );",""),"")</f>
        <v/>
      </c>
    </row>
    <row r="30" spans="1:18" x14ac:dyDescent="0.25">
      <c r="A30">
        <v>10024</v>
      </c>
      <c r="B30" t="s">
        <v>442</v>
      </c>
      <c r="C30" t="s">
        <v>281</v>
      </c>
      <c r="D30" t="s">
        <v>418</v>
      </c>
      <c r="E30" t="s">
        <v>243</v>
      </c>
      <c r="F30">
        <v>500</v>
      </c>
      <c r="H30" s="2">
        <f>COUNTIF(K:K,A30)</f>
        <v>1</v>
      </c>
      <c r="I30" s="2">
        <f t="shared" si="0"/>
        <v>0</v>
      </c>
      <c r="K30">
        <v>10024</v>
      </c>
      <c r="L30" t="s">
        <v>442</v>
      </c>
      <c r="M30" t="s">
        <v>281</v>
      </c>
      <c r="N30">
        <v>11</v>
      </c>
      <c r="O30" t="s">
        <v>243</v>
      </c>
      <c r="P30">
        <v>500</v>
      </c>
      <c r="R30" t="str">
        <f ca="1">IFERROR(IF(VLOOKUP(K30,A:F,6,FALSE)&lt;&gt;P30,"INSERT INTO playerTPEHistory ( playerID, playerTPE, historyDate, historySeason, historyWeek, historyLeague ) VALUES ("&amp;K30&amp;", "&amp;F30&amp;", '"&amp;TEXT(NOW(),"yyyy-mm-dd")&amp;"', "&amp;$E$1&amp;", "&amp;$G$1&amp;", '"&amp;VLOOKUP(E30,Index!B:C,2,FALSE)&amp;" ' );",""),"")</f>
        <v/>
      </c>
    </row>
    <row r="31" spans="1:18" x14ac:dyDescent="0.25">
      <c r="A31">
        <v>9838</v>
      </c>
      <c r="B31" t="s">
        <v>443</v>
      </c>
      <c r="C31" t="s">
        <v>278</v>
      </c>
      <c r="D31" t="s">
        <v>418</v>
      </c>
      <c r="E31" t="s">
        <v>243</v>
      </c>
      <c r="F31">
        <v>718</v>
      </c>
      <c r="H31" s="2">
        <f>COUNTIF(K:K,A31)</f>
        <v>1</v>
      </c>
      <c r="I31" s="2">
        <f t="shared" si="0"/>
        <v>0</v>
      </c>
      <c r="K31">
        <v>9838</v>
      </c>
      <c r="L31" t="s">
        <v>443</v>
      </c>
      <c r="M31" t="s">
        <v>278</v>
      </c>
      <c r="N31">
        <v>11</v>
      </c>
      <c r="O31" t="s">
        <v>243</v>
      </c>
      <c r="P31">
        <v>711</v>
      </c>
      <c r="R31" t="str">
        <f ca="1">IFERROR(IF(VLOOKUP(K31,A:F,6,FALSE)&lt;&gt;P31,"INSERT INTO playerTPEHistory ( playerID, playerTPE, historyDate, historySeason, historyWeek, historyLeague ) VALUES ("&amp;K31&amp;", "&amp;F31&amp;", '"&amp;TEXT(NOW(),"yyyy-mm-dd")&amp;"', "&amp;$E$1&amp;", "&amp;$G$1&amp;", '"&amp;VLOOKUP(E31,Index!B:C,2,FALSE)&amp;" ' );",""),"")</f>
        <v>INSERT INTO playerTPEHistory ( playerID, playerTPE, historyDate, historySeason, historyWeek, historyLeague ) VALUES (9838, 718, '2019-04-01', 14, 4, 'NSFL ' );</v>
      </c>
    </row>
    <row r="32" spans="1:18" x14ac:dyDescent="0.25">
      <c r="A32">
        <v>9412</v>
      </c>
      <c r="B32" t="s">
        <v>444</v>
      </c>
      <c r="C32" t="s">
        <v>275</v>
      </c>
      <c r="D32" t="s">
        <v>423</v>
      </c>
      <c r="E32" t="s">
        <v>243</v>
      </c>
      <c r="F32">
        <v>395</v>
      </c>
      <c r="H32" s="2">
        <f>COUNTIF(K:K,A32)</f>
        <v>1</v>
      </c>
      <c r="I32" s="2">
        <f t="shared" si="0"/>
        <v>0</v>
      </c>
      <c r="K32">
        <v>9412</v>
      </c>
      <c r="L32" t="s">
        <v>444</v>
      </c>
      <c r="M32" t="s">
        <v>275</v>
      </c>
      <c r="N32">
        <v>10</v>
      </c>
      <c r="O32" t="s">
        <v>243</v>
      </c>
      <c r="P32">
        <v>395</v>
      </c>
      <c r="R32" t="str">
        <f ca="1">IFERROR(IF(VLOOKUP(K32,A:F,6,FALSE)&lt;&gt;P32,"INSERT INTO playerTPEHistory ( playerID, playerTPE, historyDate, historySeason, historyWeek, historyLeague ) VALUES ("&amp;K32&amp;", "&amp;F32&amp;", '"&amp;TEXT(NOW(),"yyyy-mm-dd")&amp;"', "&amp;$E$1&amp;", "&amp;$G$1&amp;", '"&amp;VLOOKUP(E32,Index!B:C,2,FALSE)&amp;" ' );",""),"")</f>
        <v/>
      </c>
    </row>
    <row r="33" spans="1:18" x14ac:dyDescent="0.25">
      <c r="A33">
        <v>9347</v>
      </c>
      <c r="B33" t="s">
        <v>445</v>
      </c>
      <c r="C33" t="s">
        <v>276</v>
      </c>
      <c r="D33" t="s">
        <v>423</v>
      </c>
      <c r="E33" t="s">
        <v>243</v>
      </c>
      <c r="F33">
        <v>685</v>
      </c>
      <c r="H33" s="2">
        <f>COUNTIF(K:K,A33)</f>
        <v>1</v>
      </c>
      <c r="I33" s="2">
        <f t="shared" si="0"/>
        <v>0</v>
      </c>
      <c r="K33">
        <v>9347</v>
      </c>
      <c r="L33" t="s">
        <v>445</v>
      </c>
      <c r="M33" t="s">
        <v>276</v>
      </c>
      <c r="N33">
        <v>10</v>
      </c>
      <c r="O33" t="s">
        <v>243</v>
      </c>
      <c r="P33">
        <v>685</v>
      </c>
      <c r="R33" t="str">
        <f ca="1">IFERROR(IF(VLOOKUP(K33,A:F,6,FALSE)&lt;&gt;P33,"INSERT INTO playerTPEHistory ( playerID, playerTPE, historyDate, historySeason, historyWeek, historyLeague ) VALUES ("&amp;K33&amp;", "&amp;F33&amp;", '"&amp;TEXT(NOW(),"yyyy-mm-dd")&amp;"', "&amp;$E$1&amp;", "&amp;$G$1&amp;", '"&amp;VLOOKUP(E33,Index!B:C,2,FALSE)&amp;" ' );",""),"")</f>
        <v/>
      </c>
    </row>
    <row r="34" spans="1:18" x14ac:dyDescent="0.25">
      <c r="A34">
        <v>8834</v>
      </c>
      <c r="B34" t="s">
        <v>446</v>
      </c>
      <c r="C34" t="s">
        <v>282</v>
      </c>
      <c r="D34" t="s">
        <v>429</v>
      </c>
      <c r="E34" t="s">
        <v>243</v>
      </c>
      <c r="F34">
        <v>990</v>
      </c>
      <c r="H34" s="2">
        <f>COUNTIF(K:K,A34)</f>
        <v>1</v>
      </c>
      <c r="I34" s="2">
        <f t="shared" si="0"/>
        <v>0</v>
      </c>
      <c r="K34">
        <v>8834</v>
      </c>
      <c r="L34" t="s">
        <v>446</v>
      </c>
      <c r="M34" t="s">
        <v>282</v>
      </c>
      <c r="N34">
        <v>9</v>
      </c>
      <c r="O34" t="s">
        <v>243</v>
      </c>
      <c r="P34">
        <v>981</v>
      </c>
      <c r="R34" t="str">
        <f ca="1">IFERROR(IF(VLOOKUP(K34,A:F,6,FALSE)&lt;&gt;P34,"INSERT INTO playerTPEHistory ( playerID, playerTPE, historyDate, historySeason, historyWeek, historyLeague ) VALUES ("&amp;K34&amp;", "&amp;F34&amp;", '"&amp;TEXT(NOW(),"yyyy-mm-dd")&amp;"', "&amp;$E$1&amp;", "&amp;$G$1&amp;", '"&amp;VLOOKUP(E34,Index!B:C,2,FALSE)&amp;" ' );",""),"")</f>
        <v>INSERT INTO playerTPEHistory ( playerID, playerTPE, historyDate, historySeason, historyWeek, historyLeague ) VALUES (8834, 990, '2019-04-01', 14, 4, 'NSFL ' );</v>
      </c>
    </row>
    <row r="35" spans="1:18" x14ac:dyDescent="0.25">
      <c r="A35">
        <v>8751</v>
      </c>
      <c r="B35" t="s">
        <v>447</v>
      </c>
      <c r="C35" t="s">
        <v>281</v>
      </c>
      <c r="D35" t="s">
        <v>429</v>
      </c>
      <c r="E35" t="s">
        <v>243</v>
      </c>
      <c r="F35">
        <v>1002</v>
      </c>
      <c r="H35" s="2">
        <f>COUNTIF(K:K,A35)</f>
        <v>1</v>
      </c>
      <c r="I35" s="2">
        <f t="shared" si="0"/>
        <v>0</v>
      </c>
      <c r="K35">
        <v>8751</v>
      </c>
      <c r="L35" t="s">
        <v>447</v>
      </c>
      <c r="M35" t="s">
        <v>281</v>
      </c>
      <c r="N35">
        <v>9</v>
      </c>
      <c r="O35" t="s">
        <v>243</v>
      </c>
      <c r="P35">
        <v>993</v>
      </c>
      <c r="R35" t="str">
        <f ca="1">IFERROR(IF(VLOOKUP(K35,A:F,6,FALSE)&lt;&gt;P35,"INSERT INTO playerTPEHistory ( playerID, playerTPE, historyDate, historySeason, historyWeek, historyLeague ) VALUES ("&amp;K35&amp;", "&amp;F35&amp;", '"&amp;TEXT(NOW(),"yyyy-mm-dd")&amp;"', "&amp;$E$1&amp;", "&amp;$G$1&amp;", '"&amp;VLOOKUP(E35,Index!B:C,2,FALSE)&amp;" ' );",""),"")</f>
        <v>INSERT INTO playerTPEHistory ( playerID, playerTPE, historyDate, historySeason, historyWeek, historyLeague ) VALUES (8751, 1002, '2019-04-01', 14, 4, 'NSFL ' );</v>
      </c>
    </row>
    <row r="36" spans="1:18" x14ac:dyDescent="0.25">
      <c r="A36">
        <v>8580</v>
      </c>
      <c r="B36" t="s">
        <v>448</v>
      </c>
      <c r="C36" t="s">
        <v>280</v>
      </c>
      <c r="D36" t="s">
        <v>429</v>
      </c>
      <c r="E36" t="s">
        <v>243</v>
      </c>
      <c r="F36">
        <v>740</v>
      </c>
      <c r="H36" s="2">
        <f>COUNTIF(K:K,A36)</f>
        <v>1</v>
      </c>
      <c r="I36" s="2">
        <f t="shared" si="0"/>
        <v>0</v>
      </c>
      <c r="K36">
        <v>8580</v>
      </c>
      <c r="L36" t="s">
        <v>448</v>
      </c>
      <c r="M36" t="s">
        <v>280</v>
      </c>
      <c r="N36">
        <v>9</v>
      </c>
      <c r="O36" t="s">
        <v>243</v>
      </c>
      <c r="P36">
        <v>740</v>
      </c>
      <c r="R36" t="str">
        <f ca="1">IFERROR(IF(VLOOKUP(K36,A:F,6,FALSE)&lt;&gt;P36,"INSERT INTO playerTPEHistory ( playerID, playerTPE, historyDate, historySeason, historyWeek, historyLeague ) VALUES ("&amp;K36&amp;", "&amp;F36&amp;", '"&amp;TEXT(NOW(),"yyyy-mm-dd")&amp;"', "&amp;$E$1&amp;", "&amp;$G$1&amp;", '"&amp;VLOOKUP(E36,Index!B:C,2,FALSE)&amp;" ' );",""),"")</f>
        <v/>
      </c>
    </row>
    <row r="37" spans="1:18" x14ac:dyDescent="0.25">
      <c r="A37">
        <v>8172</v>
      </c>
      <c r="B37" t="s">
        <v>449</v>
      </c>
      <c r="C37" t="s">
        <v>277</v>
      </c>
      <c r="D37" t="s">
        <v>433</v>
      </c>
      <c r="E37" t="s">
        <v>243</v>
      </c>
      <c r="F37">
        <v>1006</v>
      </c>
      <c r="H37" s="2">
        <f>COUNTIF(K:K,A37)</f>
        <v>1</v>
      </c>
      <c r="I37" s="2">
        <f t="shared" si="0"/>
        <v>0</v>
      </c>
      <c r="K37">
        <v>8172</v>
      </c>
      <c r="L37" t="s">
        <v>449</v>
      </c>
      <c r="M37" t="s">
        <v>277</v>
      </c>
      <c r="N37">
        <v>8</v>
      </c>
      <c r="O37" t="s">
        <v>243</v>
      </c>
      <c r="P37">
        <v>995</v>
      </c>
      <c r="R37" t="str">
        <f ca="1">IFERROR(IF(VLOOKUP(K37,A:F,6,FALSE)&lt;&gt;P37,"INSERT INTO playerTPEHistory ( playerID, playerTPE, historyDate, historySeason, historyWeek, historyLeague ) VALUES ("&amp;K37&amp;", "&amp;F37&amp;", '"&amp;TEXT(NOW(),"yyyy-mm-dd")&amp;"', "&amp;$E$1&amp;", "&amp;$G$1&amp;", '"&amp;VLOOKUP(E37,Index!B:C,2,FALSE)&amp;" ' );",""),"")</f>
        <v>INSERT INTO playerTPEHistory ( playerID, playerTPE, historyDate, historySeason, historyWeek, historyLeague ) VALUES (8172, 1006, '2019-04-01', 14, 4, 'NSFL ' );</v>
      </c>
    </row>
    <row r="38" spans="1:18" x14ac:dyDescent="0.25">
      <c r="A38">
        <v>7976</v>
      </c>
      <c r="B38" t="s">
        <v>450</v>
      </c>
      <c r="C38" t="s">
        <v>283</v>
      </c>
      <c r="D38" t="s">
        <v>433</v>
      </c>
      <c r="E38" t="s">
        <v>243</v>
      </c>
      <c r="F38">
        <v>1048</v>
      </c>
      <c r="H38" s="2">
        <f>COUNTIF(K:K,A38)</f>
        <v>1</v>
      </c>
      <c r="I38" s="2">
        <f t="shared" si="0"/>
        <v>0</v>
      </c>
      <c r="K38">
        <v>7976</v>
      </c>
      <c r="L38" t="s">
        <v>450</v>
      </c>
      <c r="M38" t="s">
        <v>283</v>
      </c>
      <c r="N38">
        <v>8</v>
      </c>
      <c r="O38" t="s">
        <v>243</v>
      </c>
      <c r="P38">
        <v>1037</v>
      </c>
      <c r="R38" t="str">
        <f ca="1">IFERROR(IF(VLOOKUP(K38,A:F,6,FALSE)&lt;&gt;P38,"INSERT INTO playerTPEHistory ( playerID, playerTPE, historyDate, historySeason, historyWeek, historyLeague ) VALUES ("&amp;K38&amp;", "&amp;F38&amp;", '"&amp;TEXT(NOW(),"yyyy-mm-dd")&amp;"', "&amp;$E$1&amp;", "&amp;$G$1&amp;", '"&amp;VLOOKUP(E38,Index!B:C,2,FALSE)&amp;" ' );",""),"")</f>
        <v>INSERT INTO playerTPEHistory ( playerID, playerTPE, historyDate, historySeason, historyWeek, historyLeague ) VALUES (7976, 1048, '2019-04-01', 14, 4, 'NSFL ' );</v>
      </c>
    </row>
    <row r="39" spans="1:18" x14ac:dyDescent="0.25">
      <c r="A39">
        <v>7710</v>
      </c>
      <c r="B39" t="s">
        <v>451</v>
      </c>
      <c r="C39" t="s">
        <v>280</v>
      </c>
      <c r="D39" t="s">
        <v>452</v>
      </c>
      <c r="E39" t="s">
        <v>243</v>
      </c>
      <c r="F39">
        <v>1187</v>
      </c>
      <c r="H39" s="2">
        <f>COUNTIF(K:K,A39)</f>
        <v>1</v>
      </c>
      <c r="I39" s="2">
        <f t="shared" si="0"/>
        <v>0</v>
      </c>
      <c r="K39">
        <v>7710</v>
      </c>
      <c r="L39" t="s">
        <v>451</v>
      </c>
      <c r="M39" t="s">
        <v>280</v>
      </c>
      <c r="N39">
        <v>7</v>
      </c>
      <c r="O39" t="s">
        <v>243</v>
      </c>
      <c r="P39">
        <v>1177</v>
      </c>
      <c r="R39" t="str">
        <f ca="1">IFERROR(IF(VLOOKUP(K39,A:F,6,FALSE)&lt;&gt;P39,"INSERT INTO playerTPEHistory ( playerID, playerTPE, historyDate, historySeason, historyWeek, historyLeague ) VALUES ("&amp;K39&amp;", "&amp;F39&amp;", '"&amp;TEXT(NOW(),"yyyy-mm-dd")&amp;"', "&amp;$E$1&amp;", "&amp;$G$1&amp;", '"&amp;VLOOKUP(E39,Index!B:C,2,FALSE)&amp;" ' );",""),"")</f>
        <v>INSERT INTO playerTPEHistory ( playerID, playerTPE, historyDate, historySeason, historyWeek, historyLeague ) VALUES (7710, 1187, '2019-04-01', 14, 4, 'NSFL ' );</v>
      </c>
    </row>
    <row r="40" spans="1:18" x14ac:dyDescent="0.25">
      <c r="A40">
        <v>6510</v>
      </c>
      <c r="B40" t="s">
        <v>453</v>
      </c>
      <c r="C40" t="s">
        <v>277</v>
      </c>
      <c r="D40" t="s">
        <v>454</v>
      </c>
      <c r="E40" t="s">
        <v>243</v>
      </c>
      <c r="F40">
        <v>833</v>
      </c>
      <c r="H40" s="2">
        <f>COUNTIF(K:K,A40)</f>
        <v>1</v>
      </c>
      <c r="I40" s="2">
        <f t="shared" si="0"/>
        <v>0</v>
      </c>
      <c r="K40">
        <v>6510</v>
      </c>
      <c r="L40" t="s">
        <v>453</v>
      </c>
      <c r="M40" t="s">
        <v>277</v>
      </c>
      <c r="N40">
        <v>6</v>
      </c>
      <c r="O40" t="s">
        <v>243</v>
      </c>
      <c r="P40">
        <v>822</v>
      </c>
      <c r="R40" t="str">
        <f ca="1">IFERROR(IF(VLOOKUP(K40,A:F,6,FALSE)&lt;&gt;P40,"INSERT INTO playerTPEHistory ( playerID, playerTPE, historyDate, historySeason, historyWeek, historyLeague ) VALUES ("&amp;K40&amp;", "&amp;F40&amp;", '"&amp;TEXT(NOW(),"yyyy-mm-dd")&amp;"', "&amp;$E$1&amp;", "&amp;$G$1&amp;", '"&amp;VLOOKUP(E40,Index!B:C,2,FALSE)&amp;" ' );",""),"")</f>
        <v>INSERT INTO playerTPEHistory ( playerID, playerTPE, historyDate, historySeason, historyWeek, historyLeague ) VALUES (6510, 833, '2019-04-01', 14, 4, 'NSFL ' );</v>
      </c>
    </row>
    <row r="41" spans="1:18" x14ac:dyDescent="0.25">
      <c r="A41">
        <v>5358</v>
      </c>
      <c r="B41" t="s">
        <v>455</v>
      </c>
      <c r="C41" t="s">
        <v>276</v>
      </c>
      <c r="D41" t="s">
        <v>456</v>
      </c>
      <c r="E41" t="s">
        <v>243</v>
      </c>
      <c r="F41">
        <v>229</v>
      </c>
      <c r="H41" s="2">
        <f>COUNTIF(K:K,A41)</f>
        <v>1</v>
      </c>
      <c r="I41" s="2">
        <f t="shared" si="0"/>
        <v>0</v>
      </c>
      <c r="K41">
        <v>5358</v>
      </c>
      <c r="L41" t="s">
        <v>455</v>
      </c>
      <c r="M41" t="s">
        <v>276</v>
      </c>
      <c r="N41">
        <v>5</v>
      </c>
      <c r="O41" t="s">
        <v>243</v>
      </c>
      <c r="P41">
        <v>229</v>
      </c>
      <c r="R41" t="str">
        <f ca="1">IFERROR(IF(VLOOKUP(K41,A:F,6,FALSE)&lt;&gt;P41,"INSERT INTO playerTPEHistory ( playerID, playerTPE, historyDate, historySeason, historyWeek, historyLeague ) VALUES ("&amp;K41&amp;", "&amp;F41&amp;", '"&amp;TEXT(NOW(),"yyyy-mm-dd")&amp;"', "&amp;$E$1&amp;", "&amp;$G$1&amp;", '"&amp;VLOOKUP(E41,Index!B:C,2,FALSE)&amp;" ' );",""),"")</f>
        <v/>
      </c>
    </row>
    <row r="42" spans="1:18" x14ac:dyDescent="0.25">
      <c r="A42">
        <v>5130</v>
      </c>
      <c r="B42" t="s">
        <v>457</v>
      </c>
      <c r="C42" t="s">
        <v>276</v>
      </c>
      <c r="D42" t="s">
        <v>456</v>
      </c>
      <c r="E42" t="s">
        <v>243</v>
      </c>
      <c r="F42">
        <v>410</v>
      </c>
      <c r="H42" s="2">
        <f>COUNTIF(K:K,A42)</f>
        <v>1</v>
      </c>
      <c r="I42" s="2">
        <f t="shared" si="0"/>
        <v>0</v>
      </c>
      <c r="K42">
        <v>5130</v>
      </c>
      <c r="L42" t="s">
        <v>457</v>
      </c>
      <c r="M42" t="s">
        <v>276</v>
      </c>
      <c r="N42">
        <v>5</v>
      </c>
      <c r="O42" t="s">
        <v>243</v>
      </c>
      <c r="P42">
        <v>410</v>
      </c>
      <c r="R42" t="str">
        <f ca="1">IFERROR(IF(VLOOKUP(K42,A:F,6,FALSE)&lt;&gt;P42,"INSERT INTO playerTPEHistory ( playerID, playerTPE, historyDate, historySeason, historyWeek, historyLeague ) VALUES ("&amp;K42&amp;", "&amp;F42&amp;", '"&amp;TEXT(NOW(),"yyyy-mm-dd")&amp;"', "&amp;$E$1&amp;", "&amp;$G$1&amp;", '"&amp;VLOOKUP(E42,Index!B:C,2,FALSE)&amp;" ' );",""),"")</f>
        <v/>
      </c>
    </row>
    <row r="43" spans="1:18" x14ac:dyDescent="0.25">
      <c r="A43">
        <v>4964</v>
      </c>
      <c r="B43" t="s">
        <v>458</v>
      </c>
      <c r="C43" t="s">
        <v>275</v>
      </c>
      <c r="D43" t="s">
        <v>459</v>
      </c>
      <c r="E43" t="s">
        <v>243</v>
      </c>
      <c r="F43">
        <v>485</v>
      </c>
      <c r="H43" s="2">
        <f>COUNTIF(K:K,A43)</f>
        <v>1</v>
      </c>
      <c r="I43" s="2">
        <f t="shared" si="0"/>
        <v>0</v>
      </c>
      <c r="K43">
        <v>4964</v>
      </c>
      <c r="L43" t="s">
        <v>458</v>
      </c>
      <c r="M43" t="s">
        <v>275</v>
      </c>
      <c r="N43">
        <v>4</v>
      </c>
      <c r="O43" t="s">
        <v>243</v>
      </c>
      <c r="P43">
        <v>517</v>
      </c>
      <c r="R43" t="str">
        <f ca="1">IFERROR(IF(VLOOKUP(K43,A:F,6,FALSE)&lt;&gt;P43,"INSERT INTO playerTPEHistory ( playerID, playerTPE, historyDate, historySeason, historyWeek, historyLeague ) VALUES ("&amp;K43&amp;", "&amp;F43&amp;", '"&amp;TEXT(NOW(),"yyyy-mm-dd")&amp;"', "&amp;$E$1&amp;", "&amp;$G$1&amp;", '"&amp;VLOOKUP(E43,Index!B:C,2,FALSE)&amp;" ' );",""),"")</f>
        <v>INSERT INTO playerTPEHistory ( playerID, playerTPE, historyDate, historySeason, historyWeek, historyLeague ) VALUES (4964, 485, '2019-04-01', 14, 4, 'NSFL ' );</v>
      </c>
    </row>
    <row r="44" spans="1:18" x14ac:dyDescent="0.25">
      <c r="A44">
        <v>11072</v>
      </c>
      <c r="B44" t="s">
        <v>460</v>
      </c>
      <c r="C44" t="s">
        <v>275</v>
      </c>
      <c r="D44" t="s">
        <v>409</v>
      </c>
      <c r="E44" t="s">
        <v>244</v>
      </c>
      <c r="F44">
        <v>243</v>
      </c>
      <c r="H44" s="2">
        <f>COUNTIF(K:K,A44)</f>
        <v>1</v>
      </c>
      <c r="I44" s="2">
        <f t="shared" si="0"/>
        <v>0</v>
      </c>
      <c r="K44">
        <v>11072</v>
      </c>
      <c r="L44" t="s">
        <v>460</v>
      </c>
      <c r="M44" t="s">
        <v>275</v>
      </c>
      <c r="N44">
        <v>13</v>
      </c>
      <c r="O44" t="s">
        <v>244</v>
      </c>
      <c r="P44">
        <v>243</v>
      </c>
      <c r="R44" t="str">
        <f ca="1">IFERROR(IF(VLOOKUP(K44,A:F,6,FALSE)&lt;&gt;P44,"INSERT INTO playerTPEHistory ( playerID, playerTPE, historyDate, historySeason, historyWeek, historyLeague ) VALUES ("&amp;K44&amp;", "&amp;F44&amp;", '"&amp;TEXT(NOW(),"yyyy-mm-dd")&amp;"', "&amp;$E$1&amp;", "&amp;$G$1&amp;", '"&amp;VLOOKUP(E44,Index!B:C,2,FALSE)&amp;" ' );",""),"")</f>
        <v/>
      </c>
    </row>
    <row r="45" spans="1:18" x14ac:dyDescent="0.25">
      <c r="A45">
        <v>10967</v>
      </c>
      <c r="B45" t="s">
        <v>461</v>
      </c>
      <c r="C45" t="s">
        <v>278</v>
      </c>
      <c r="D45" t="s">
        <v>411</v>
      </c>
      <c r="E45" t="s">
        <v>244</v>
      </c>
      <c r="F45">
        <v>162</v>
      </c>
      <c r="H45" s="2">
        <f>COUNTIF(K:K,A45)</f>
        <v>1</v>
      </c>
      <c r="I45" s="2">
        <f t="shared" si="0"/>
        <v>0</v>
      </c>
      <c r="K45">
        <v>10967</v>
      </c>
      <c r="L45" t="s">
        <v>461</v>
      </c>
      <c r="M45" t="s">
        <v>278</v>
      </c>
      <c r="N45">
        <v>12</v>
      </c>
      <c r="O45" t="s">
        <v>244</v>
      </c>
      <c r="P45">
        <v>162</v>
      </c>
      <c r="R45" t="str">
        <f ca="1">IFERROR(IF(VLOOKUP(K45,A:F,6,FALSE)&lt;&gt;P45,"INSERT INTO playerTPEHistory ( playerID, playerTPE, historyDate, historySeason, historyWeek, historyLeague ) VALUES ("&amp;K45&amp;", "&amp;F45&amp;", '"&amp;TEXT(NOW(),"yyyy-mm-dd")&amp;"', "&amp;$E$1&amp;", "&amp;$G$1&amp;", '"&amp;VLOOKUP(E45,Index!B:C,2,FALSE)&amp;" ' );",""),"")</f>
        <v/>
      </c>
    </row>
    <row r="46" spans="1:18" x14ac:dyDescent="0.25">
      <c r="A46">
        <v>10834</v>
      </c>
      <c r="B46" t="s">
        <v>462</v>
      </c>
      <c r="C46" t="s">
        <v>277</v>
      </c>
      <c r="D46" t="s">
        <v>411</v>
      </c>
      <c r="E46" t="s">
        <v>244</v>
      </c>
      <c r="F46">
        <v>155</v>
      </c>
      <c r="H46" s="2">
        <f>COUNTIF(K:K,A46)</f>
        <v>1</v>
      </c>
      <c r="I46" s="2">
        <f t="shared" si="0"/>
        <v>0</v>
      </c>
      <c r="K46">
        <v>10834</v>
      </c>
      <c r="L46" t="s">
        <v>462</v>
      </c>
      <c r="M46" t="s">
        <v>277</v>
      </c>
      <c r="N46">
        <v>12</v>
      </c>
      <c r="O46" t="s">
        <v>244</v>
      </c>
      <c r="P46">
        <v>155</v>
      </c>
      <c r="R46" t="str">
        <f ca="1">IFERROR(IF(VLOOKUP(K46,A:F,6,FALSE)&lt;&gt;P46,"INSERT INTO playerTPEHistory ( playerID, playerTPE, historyDate, historySeason, historyWeek, historyLeague ) VALUES ("&amp;K46&amp;", "&amp;F46&amp;", '"&amp;TEXT(NOW(),"yyyy-mm-dd")&amp;"', "&amp;$E$1&amp;", "&amp;$G$1&amp;", '"&amp;VLOOKUP(E46,Index!B:C,2,FALSE)&amp;" ' );",""),"")</f>
        <v/>
      </c>
    </row>
    <row r="47" spans="1:18" x14ac:dyDescent="0.25">
      <c r="A47">
        <v>10712</v>
      </c>
      <c r="B47" t="s">
        <v>463</v>
      </c>
      <c r="C47" t="s">
        <v>275</v>
      </c>
      <c r="D47" t="s">
        <v>411</v>
      </c>
      <c r="E47" t="s">
        <v>244</v>
      </c>
      <c r="F47">
        <v>182</v>
      </c>
      <c r="H47" s="2">
        <f>COUNTIF(K:K,A47)</f>
        <v>1</v>
      </c>
      <c r="I47" s="2">
        <f t="shared" si="0"/>
        <v>0</v>
      </c>
      <c r="K47">
        <v>10712</v>
      </c>
      <c r="L47" t="s">
        <v>463</v>
      </c>
      <c r="M47" t="s">
        <v>275</v>
      </c>
      <c r="N47">
        <v>12</v>
      </c>
      <c r="O47" t="s">
        <v>244</v>
      </c>
      <c r="P47">
        <v>182</v>
      </c>
      <c r="R47" t="str">
        <f ca="1">IFERROR(IF(VLOOKUP(K47,A:F,6,FALSE)&lt;&gt;P47,"INSERT INTO playerTPEHistory ( playerID, playerTPE, historyDate, historySeason, historyWeek, historyLeague ) VALUES ("&amp;K47&amp;", "&amp;F47&amp;", '"&amp;TEXT(NOW(),"yyyy-mm-dd")&amp;"', "&amp;$E$1&amp;", "&amp;$G$1&amp;", '"&amp;VLOOKUP(E47,Index!B:C,2,FALSE)&amp;" ' );",""),"")</f>
        <v/>
      </c>
    </row>
    <row r="48" spans="1:18" x14ac:dyDescent="0.25">
      <c r="A48">
        <v>10708</v>
      </c>
      <c r="B48" t="s">
        <v>464</v>
      </c>
      <c r="C48" t="s">
        <v>276</v>
      </c>
      <c r="D48" t="s">
        <v>411</v>
      </c>
      <c r="E48" t="s">
        <v>244</v>
      </c>
      <c r="F48">
        <v>626</v>
      </c>
      <c r="H48" s="2">
        <f>COUNTIF(K:K,A48)</f>
        <v>1</v>
      </c>
      <c r="I48" s="2">
        <f t="shared" si="0"/>
        <v>0</v>
      </c>
      <c r="K48">
        <v>10708</v>
      </c>
      <c r="L48" t="s">
        <v>464</v>
      </c>
      <c r="M48" t="s">
        <v>276</v>
      </c>
      <c r="N48">
        <v>12</v>
      </c>
      <c r="O48" t="s">
        <v>244</v>
      </c>
      <c r="P48">
        <v>626</v>
      </c>
      <c r="R48" t="str">
        <f ca="1">IFERROR(IF(VLOOKUP(K48,A:F,6,FALSE)&lt;&gt;P48,"INSERT INTO playerTPEHistory ( playerID, playerTPE, historyDate, historySeason, historyWeek, historyLeague ) VALUES ("&amp;K48&amp;", "&amp;F48&amp;", '"&amp;TEXT(NOW(),"yyyy-mm-dd")&amp;"', "&amp;$E$1&amp;", "&amp;$G$1&amp;", '"&amp;VLOOKUP(E48,Index!B:C,2,FALSE)&amp;" ' );",""),"")</f>
        <v/>
      </c>
    </row>
    <row r="49" spans="1:18" x14ac:dyDescent="0.25">
      <c r="A49">
        <v>10657</v>
      </c>
      <c r="B49" t="s">
        <v>465</v>
      </c>
      <c r="C49" t="s">
        <v>276</v>
      </c>
      <c r="D49" t="s">
        <v>411</v>
      </c>
      <c r="E49" t="s">
        <v>244</v>
      </c>
      <c r="F49">
        <v>446</v>
      </c>
      <c r="H49" s="2">
        <f>COUNTIF(K:K,A49)</f>
        <v>1</v>
      </c>
      <c r="I49" s="2">
        <f t="shared" si="0"/>
        <v>0</v>
      </c>
      <c r="K49">
        <v>10657</v>
      </c>
      <c r="L49" t="s">
        <v>465</v>
      </c>
      <c r="M49" t="s">
        <v>276</v>
      </c>
      <c r="N49">
        <v>12</v>
      </c>
      <c r="O49" t="s">
        <v>244</v>
      </c>
      <c r="P49">
        <v>439</v>
      </c>
      <c r="R49" t="str">
        <f ca="1">IFERROR(IF(VLOOKUP(K49,A:F,6,FALSE)&lt;&gt;P49,"INSERT INTO playerTPEHistory ( playerID, playerTPE, historyDate, historySeason, historyWeek, historyLeague ) VALUES ("&amp;K49&amp;", "&amp;F49&amp;", '"&amp;TEXT(NOW(),"yyyy-mm-dd")&amp;"', "&amp;$E$1&amp;", "&amp;$G$1&amp;", '"&amp;VLOOKUP(E49,Index!B:C,2,FALSE)&amp;" ' );",""),"")</f>
        <v>INSERT INTO playerTPEHistory ( playerID, playerTPE, historyDate, historySeason, historyWeek, historyLeague ) VALUES (10657, 446, '2019-04-01', 14, 4, 'NSFL ' );</v>
      </c>
    </row>
    <row r="50" spans="1:18" x14ac:dyDescent="0.25">
      <c r="A50">
        <v>10573</v>
      </c>
      <c r="B50" t="s">
        <v>466</v>
      </c>
      <c r="C50" t="s">
        <v>277</v>
      </c>
      <c r="D50" t="s">
        <v>411</v>
      </c>
      <c r="E50" t="s">
        <v>244</v>
      </c>
      <c r="F50">
        <v>514</v>
      </c>
      <c r="H50" s="2">
        <f>COUNTIF(K:K,A50)</f>
        <v>1</v>
      </c>
      <c r="I50" s="2">
        <f t="shared" si="0"/>
        <v>0</v>
      </c>
      <c r="K50">
        <v>10573</v>
      </c>
      <c r="L50" t="s">
        <v>466</v>
      </c>
      <c r="M50" t="s">
        <v>277</v>
      </c>
      <c r="N50">
        <v>12</v>
      </c>
      <c r="O50" t="s">
        <v>244</v>
      </c>
      <c r="P50">
        <v>507</v>
      </c>
      <c r="R50" t="str">
        <f ca="1">IFERROR(IF(VLOOKUP(K50,A:F,6,FALSE)&lt;&gt;P50,"INSERT INTO playerTPEHistory ( playerID, playerTPE, historyDate, historySeason, historyWeek, historyLeague ) VALUES ("&amp;K50&amp;", "&amp;F50&amp;", '"&amp;TEXT(NOW(),"yyyy-mm-dd")&amp;"', "&amp;$E$1&amp;", "&amp;$G$1&amp;", '"&amp;VLOOKUP(E50,Index!B:C,2,FALSE)&amp;" ' );",""),"")</f>
        <v>INSERT INTO playerTPEHistory ( playerID, playerTPE, historyDate, historySeason, historyWeek, historyLeague ) VALUES (10573, 514, '2019-04-01', 14, 4, 'NSFL ' );</v>
      </c>
    </row>
    <row r="51" spans="1:18" x14ac:dyDescent="0.25">
      <c r="A51">
        <v>10550</v>
      </c>
      <c r="B51" t="s">
        <v>467</v>
      </c>
      <c r="C51" t="s">
        <v>278</v>
      </c>
      <c r="D51" t="s">
        <v>411</v>
      </c>
      <c r="E51" t="s">
        <v>244</v>
      </c>
      <c r="F51">
        <v>249</v>
      </c>
      <c r="H51" s="2">
        <f>COUNTIF(K:K,A51)</f>
        <v>1</v>
      </c>
      <c r="I51" s="2">
        <f t="shared" si="0"/>
        <v>0</v>
      </c>
      <c r="K51">
        <v>10550</v>
      </c>
      <c r="L51" t="s">
        <v>467</v>
      </c>
      <c r="M51" t="s">
        <v>278</v>
      </c>
      <c r="N51">
        <v>12</v>
      </c>
      <c r="O51" t="s">
        <v>244</v>
      </c>
      <c r="P51">
        <v>249</v>
      </c>
      <c r="R51" t="str">
        <f ca="1">IFERROR(IF(VLOOKUP(K51,A:F,6,FALSE)&lt;&gt;P51,"INSERT INTO playerTPEHistory ( playerID, playerTPE, historyDate, historySeason, historyWeek, historyLeague ) VALUES ("&amp;K51&amp;", "&amp;F51&amp;", '"&amp;TEXT(NOW(),"yyyy-mm-dd")&amp;"', "&amp;$E$1&amp;", "&amp;$G$1&amp;", '"&amp;VLOOKUP(E51,Index!B:C,2,FALSE)&amp;" ' );",""),"")</f>
        <v/>
      </c>
    </row>
    <row r="52" spans="1:18" x14ac:dyDescent="0.25">
      <c r="A52">
        <v>10524</v>
      </c>
      <c r="B52" t="s">
        <v>468</v>
      </c>
      <c r="C52" t="s">
        <v>281</v>
      </c>
      <c r="D52" t="s">
        <v>411</v>
      </c>
      <c r="E52" t="s">
        <v>244</v>
      </c>
      <c r="F52">
        <v>705</v>
      </c>
      <c r="H52" s="2">
        <f>COUNTIF(K:K,A52)</f>
        <v>1</v>
      </c>
      <c r="I52" s="2">
        <f t="shared" si="0"/>
        <v>0</v>
      </c>
      <c r="K52">
        <v>10524</v>
      </c>
      <c r="L52" t="s">
        <v>468</v>
      </c>
      <c r="M52" t="s">
        <v>281</v>
      </c>
      <c r="N52">
        <v>12</v>
      </c>
      <c r="O52" t="s">
        <v>244</v>
      </c>
      <c r="P52">
        <v>694</v>
      </c>
      <c r="R52" t="str">
        <f ca="1">IFERROR(IF(VLOOKUP(K52,A:F,6,FALSE)&lt;&gt;P52,"INSERT INTO playerTPEHistory ( playerID, playerTPE, historyDate, historySeason, historyWeek, historyLeague ) VALUES ("&amp;K52&amp;", "&amp;F52&amp;", '"&amp;TEXT(NOW(),"yyyy-mm-dd")&amp;"', "&amp;$E$1&amp;", "&amp;$G$1&amp;", '"&amp;VLOOKUP(E52,Index!B:C,2,FALSE)&amp;" ' );",""),"")</f>
        <v>INSERT INTO playerTPEHistory ( playerID, playerTPE, historyDate, historySeason, historyWeek, historyLeague ) VALUES (10524, 705, '2019-04-01', 14, 4, 'NSFL ' );</v>
      </c>
    </row>
    <row r="53" spans="1:18" x14ac:dyDescent="0.25">
      <c r="A53">
        <v>9786</v>
      </c>
      <c r="B53" t="s">
        <v>469</v>
      </c>
      <c r="C53" t="s">
        <v>282</v>
      </c>
      <c r="D53" t="s">
        <v>423</v>
      </c>
      <c r="E53" t="s">
        <v>244</v>
      </c>
      <c r="F53">
        <v>327</v>
      </c>
      <c r="H53" s="2">
        <f>COUNTIF(K:K,A53)</f>
        <v>1</v>
      </c>
      <c r="I53" s="2">
        <f t="shared" si="0"/>
        <v>0</v>
      </c>
      <c r="K53">
        <v>9786</v>
      </c>
      <c r="L53" t="s">
        <v>469</v>
      </c>
      <c r="M53" t="s">
        <v>282</v>
      </c>
      <c r="N53">
        <v>10</v>
      </c>
      <c r="O53" t="s">
        <v>244</v>
      </c>
      <c r="P53">
        <v>325</v>
      </c>
      <c r="R53" t="str">
        <f ca="1">IFERROR(IF(VLOOKUP(K53,A:F,6,FALSE)&lt;&gt;P53,"INSERT INTO playerTPEHistory ( playerID, playerTPE, historyDate, historySeason, historyWeek, historyLeague ) VALUES ("&amp;K53&amp;", "&amp;F53&amp;", '"&amp;TEXT(NOW(),"yyyy-mm-dd")&amp;"', "&amp;$E$1&amp;", "&amp;$G$1&amp;", '"&amp;VLOOKUP(E53,Index!B:C,2,FALSE)&amp;" ' );",""),"")</f>
        <v>INSERT INTO playerTPEHistory ( playerID, playerTPE, historyDate, historySeason, historyWeek, historyLeague ) VALUES (9786, 327, '2019-04-01', 14, 4, 'NSFL ' );</v>
      </c>
    </row>
    <row r="54" spans="1:18" x14ac:dyDescent="0.25">
      <c r="A54">
        <v>9401</v>
      </c>
      <c r="B54" t="s">
        <v>470</v>
      </c>
      <c r="C54" t="s">
        <v>278</v>
      </c>
      <c r="D54" t="s">
        <v>423</v>
      </c>
      <c r="E54" t="s">
        <v>244</v>
      </c>
      <c r="F54">
        <v>97</v>
      </c>
      <c r="H54" s="2">
        <f>COUNTIF(K:K,A54)</f>
        <v>1</v>
      </c>
      <c r="I54" s="2">
        <f t="shared" si="0"/>
        <v>0</v>
      </c>
      <c r="K54">
        <v>9401</v>
      </c>
      <c r="L54" t="s">
        <v>470</v>
      </c>
      <c r="M54" t="s">
        <v>278</v>
      </c>
      <c r="N54">
        <v>10</v>
      </c>
      <c r="O54" t="s">
        <v>244</v>
      </c>
      <c r="P54">
        <v>97</v>
      </c>
      <c r="R54" t="str">
        <f ca="1">IFERROR(IF(VLOOKUP(K54,A:F,6,FALSE)&lt;&gt;P54,"INSERT INTO playerTPEHistory ( playerID, playerTPE, historyDate, historySeason, historyWeek, historyLeague ) VALUES ("&amp;K54&amp;", "&amp;F54&amp;", '"&amp;TEXT(NOW(),"yyyy-mm-dd")&amp;"', "&amp;$E$1&amp;", "&amp;$G$1&amp;", '"&amp;VLOOKUP(E54,Index!B:C,2,FALSE)&amp;" ' );",""),"")</f>
        <v/>
      </c>
    </row>
    <row r="55" spans="1:18" x14ac:dyDescent="0.25">
      <c r="A55">
        <v>9229</v>
      </c>
      <c r="B55" t="s">
        <v>471</v>
      </c>
      <c r="C55" t="s">
        <v>276</v>
      </c>
      <c r="D55" t="s">
        <v>423</v>
      </c>
      <c r="E55" t="s">
        <v>244</v>
      </c>
      <c r="F55">
        <v>468</v>
      </c>
      <c r="H55" s="2">
        <f>COUNTIF(K:K,A55)</f>
        <v>1</v>
      </c>
      <c r="I55" s="2">
        <f t="shared" si="0"/>
        <v>0</v>
      </c>
      <c r="K55">
        <v>9037</v>
      </c>
      <c r="L55" t="s">
        <v>472</v>
      </c>
      <c r="M55" t="s">
        <v>276</v>
      </c>
      <c r="N55">
        <v>9</v>
      </c>
      <c r="O55" t="s">
        <v>244</v>
      </c>
      <c r="P55">
        <v>130</v>
      </c>
      <c r="R55" t="str">
        <f ca="1">IFERROR(IF(VLOOKUP(K55,A:F,6,FALSE)&lt;&gt;P55,"INSERT INTO playerTPEHistory ( playerID, playerTPE, historyDate, historySeason, historyWeek, historyLeague ) VALUES ("&amp;K55&amp;", "&amp;F55&amp;", '"&amp;TEXT(NOW(),"yyyy-mm-dd")&amp;"', "&amp;$E$1&amp;", "&amp;$G$1&amp;", '"&amp;VLOOKUP(E55,Index!B:C,2,FALSE)&amp;" ' );",""),"")</f>
        <v/>
      </c>
    </row>
    <row r="56" spans="1:18" x14ac:dyDescent="0.25">
      <c r="A56">
        <v>9037</v>
      </c>
      <c r="B56" t="s">
        <v>472</v>
      </c>
      <c r="C56" t="s">
        <v>276</v>
      </c>
      <c r="D56" t="s">
        <v>429</v>
      </c>
      <c r="E56" t="s">
        <v>244</v>
      </c>
      <c r="F56">
        <v>130</v>
      </c>
      <c r="H56" s="2">
        <f>COUNTIF(K:K,A56)</f>
        <v>1</v>
      </c>
      <c r="I56" s="2">
        <f t="shared" si="0"/>
        <v>0</v>
      </c>
      <c r="K56">
        <v>9009</v>
      </c>
      <c r="L56" t="s">
        <v>473</v>
      </c>
      <c r="M56" t="s">
        <v>274</v>
      </c>
      <c r="N56">
        <v>9</v>
      </c>
      <c r="O56" t="s">
        <v>244</v>
      </c>
      <c r="P56">
        <v>104</v>
      </c>
      <c r="R56" t="str">
        <f ca="1">IFERROR(IF(VLOOKUP(K56,A:F,6,FALSE)&lt;&gt;P56,"INSERT INTO playerTPEHistory ( playerID, playerTPE, historyDate, historySeason, historyWeek, historyLeague ) VALUES ("&amp;K56&amp;", "&amp;F56&amp;", '"&amp;TEXT(NOW(),"yyyy-mm-dd")&amp;"', "&amp;$E$1&amp;", "&amp;$G$1&amp;", '"&amp;VLOOKUP(E56,Index!B:C,2,FALSE)&amp;" ' );",""),"")</f>
        <v/>
      </c>
    </row>
    <row r="57" spans="1:18" x14ac:dyDescent="0.25">
      <c r="A57">
        <v>9009</v>
      </c>
      <c r="B57" t="s">
        <v>473</v>
      </c>
      <c r="C57" t="s">
        <v>274</v>
      </c>
      <c r="D57" t="s">
        <v>429</v>
      </c>
      <c r="E57" t="s">
        <v>244</v>
      </c>
      <c r="F57">
        <v>104</v>
      </c>
      <c r="H57" s="2">
        <f>COUNTIF(K:K,A57)</f>
        <v>1</v>
      </c>
      <c r="I57" s="2">
        <f t="shared" si="0"/>
        <v>0</v>
      </c>
      <c r="K57">
        <v>8653</v>
      </c>
      <c r="L57" t="s">
        <v>474</v>
      </c>
      <c r="M57" t="s">
        <v>281</v>
      </c>
      <c r="N57">
        <v>9</v>
      </c>
      <c r="O57" t="s">
        <v>244</v>
      </c>
      <c r="P57">
        <v>259</v>
      </c>
      <c r="R57" t="str">
        <f ca="1">IFERROR(IF(VLOOKUP(K57,A:F,6,FALSE)&lt;&gt;P57,"INSERT INTO playerTPEHistory ( playerID, playerTPE, historyDate, historySeason, historyWeek, historyLeague ) VALUES ("&amp;K57&amp;", "&amp;F57&amp;", '"&amp;TEXT(NOW(),"yyyy-mm-dd")&amp;"', "&amp;$E$1&amp;", "&amp;$G$1&amp;", '"&amp;VLOOKUP(E57,Index!B:C,2,FALSE)&amp;" ' );",""),"")</f>
        <v/>
      </c>
    </row>
    <row r="58" spans="1:18" x14ac:dyDescent="0.25">
      <c r="A58">
        <v>8653</v>
      </c>
      <c r="B58" t="s">
        <v>474</v>
      </c>
      <c r="C58" t="s">
        <v>281</v>
      </c>
      <c r="D58" t="s">
        <v>429</v>
      </c>
      <c r="E58" t="s">
        <v>244</v>
      </c>
      <c r="F58">
        <v>259</v>
      </c>
      <c r="H58" s="2">
        <f>COUNTIF(K:K,A58)</f>
        <v>1</v>
      </c>
      <c r="I58" s="2">
        <f t="shared" si="0"/>
        <v>0</v>
      </c>
      <c r="K58">
        <v>8524</v>
      </c>
      <c r="L58" t="s">
        <v>475</v>
      </c>
      <c r="M58" t="s">
        <v>280</v>
      </c>
      <c r="N58">
        <v>8</v>
      </c>
      <c r="O58" t="s">
        <v>244</v>
      </c>
      <c r="P58">
        <v>510</v>
      </c>
      <c r="R58" t="str">
        <f ca="1">IFERROR(IF(VLOOKUP(K58,A:F,6,FALSE)&lt;&gt;P58,"INSERT INTO playerTPEHistory ( playerID, playerTPE, historyDate, historySeason, historyWeek, historyLeague ) VALUES ("&amp;K58&amp;", "&amp;F58&amp;", '"&amp;TEXT(NOW(),"yyyy-mm-dd")&amp;"', "&amp;$E$1&amp;", "&amp;$G$1&amp;", '"&amp;VLOOKUP(E58,Index!B:C,2,FALSE)&amp;" ' );",""),"")</f>
        <v/>
      </c>
    </row>
    <row r="59" spans="1:18" x14ac:dyDescent="0.25">
      <c r="A59">
        <v>8524</v>
      </c>
      <c r="B59" t="s">
        <v>475</v>
      </c>
      <c r="C59" t="s">
        <v>280</v>
      </c>
      <c r="D59" t="s">
        <v>433</v>
      </c>
      <c r="E59" t="s">
        <v>244</v>
      </c>
      <c r="F59">
        <v>510</v>
      </c>
      <c r="H59" s="2">
        <f>COUNTIF(K:K,A59)</f>
        <v>1</v>
      </c>
      <c r="I59" s="2">
        <f t="shared" si="0"/>
        <v>0</v>
      </c>
      <c r="K59">
        <v>8396</v>
      </c>
      <c r="L59" t="s">
        <v>476</v>
      </c>
      <c r="M59" t="s">
        <v>278</v>
      </c>
      <c r="N59">
        <v>8</v>
      </c>
      <c r="O59" t="s">
        <v>244</v>
      </c>
      <c r="P59">
        <v>146</v>
      </c>
      <c r="R59" t="str">
        <f ca="1">IFERROR(IF(VLOOKUP(K59,A:F,6,FALSE)&lt;&gt;P59,"INSERT INTO playerTPEHistory ( playerID, playerTPE, historyDate, historySeason, historyWeek, historyLeague ) VALUES ("&amp;K59&amp;", "&amp;F59&amp;", '"&amp;TEXT(NOW(),"yyyy-mm-dd")&amp;"', "&amp;$E$1&amp;", "&amp;$G$1&amp;", '"&amp;VLOOKUP(E59,Index!B:C,2,FALSE)&amp;" ' );",""),"")</f>
        <v/>
      </c>
    </row>
    <row r="60" spans="1:18" x14ac:dyDescent="0.25">
      <c r="A60">
        <v>8396</v>
      </c>
      <c r="B60" t="s">
        <v>476</v>
      </c>
      <c r="C60" t="s">
        <v>278</v>
      </c>
      <c r="D60" t="s">
        <v>433</v>
      </c>
      <c r="E60" t="s">
        <v>244</v>
      </c>
      <c r="F60">
        <v>146</v>
      </c>
      <c r="H60" s="2">
        <f>COUNTIF(K:K,A60)</f>
        <v>1</v>
      </c>
      <c r="I60" s="2">
        <f t="shared" si="0"/>
        <v>0</v>
      </c>
      <c r="K60">
        <v>8061</v>
      </c>
      <c r="L60" t="s">
        <v>477</v>
      </c>
      <c r="M60" t="s">
        <v>281</v>
      </c>
      <c r="N60">
        <v>8</v>
      </c>
      <c r="O60" t="s">
        <v>244</v>
      </c>
      <c r="P60">
        <v>789</v>
      </c>
      <c r="R60" t="str">
        <f ca="1">IFERROR(IF(VLOOKUP(K60,A:F,6,FALSE)&lt;&gt;P60,"INSERT INTO playerTPEHistory ( playerID, playerTPE, historyDate, historySeason, historyWeek, historyLeague ) VALUES ("&amp;K60&amp;", "&amp;F60&amp;", '"&amp;TEXT(NOW(),"yyyy-mm-dd")&amp;"', "&amp;$E$1&amp;", "&amp;$G$1&amp;", '"&amp;VLOOKUP(E60,Index!B:C,2,FALSE)&amp;" ' );",""),"")</f>
        <v/>
      </c>
    </row>
    <row r="61" spans="1:18" x14ac:dyDescent="0.25">
      <c r="A61">
        <v>8061</v>
      </c>
      <c r="B61" t="s">
        <v>477</v>
      </c>
      <c r="C61" t="s">
        <v>281</v>
      </c>
      <c r="D61" t="s">
        <v>433</v>
      </c>
      <c r="E61" t="s">
        <v>244</v>
      </c>
      <c r="F61">
        <v>789</v>
      </c>
      <c r="H61" s="2">
        <f>COUNTIF(K:K,A61)</f>
        <v>1</v>
      </c>
      <c r="I61" s="2">
        <f t="shared" si="0"/>
        <v>0</v>
      </c>
      <c r="K61">
        <v>7561</v>
      </c>
      <c r="L61" t="s">
        <v>478</v>
      </c>
      <c r="M61" t="s">
        <v>282</v>
      </c>
      <c r="N61">
        <v>7</v>
      </c>
      <c r="O61" t="s">
        <v>244</v>
      </c>
      <c r="P61">
        <v>339</v>
      </c>
      <c r="R61" t="str">
        <f ca="1">IFERROR(IF(VLOOKUP(K61,A:F,6,FALSE)&lt;&gt;P61,"INSERT INTO playerTPEHistory ( playerID, playerTPE, historyDate, historySeason, historyWeek, historyLeague ) VALUES ("&amp;K61&amp;", "&amp;F61&amp;", '"&amp;TEXT(NOW(),"yyyy-mm-dd")&amp;"', "&amp;$E$1&amp;", "&amp;$G$1&amp;", '"&amp;VLOOKUP(E61,Index!B:C,2,FALSE)&amp;" ' );",""),"")</f>
        <v/>
      </c>
    </row>
    <row r="62" spans="1:18" x14ac:dyDescent="0.25">
      <c r="A62">
        <v>7561</v>
      </c>
      <c r="B62" t="s">
        <v>478</v>
      </c>
      <c r="C62" t="s">
        <v>282</v>
      </c>
      <c r="D62" t="s">
        <v>452</v>
      </c>
      <c r="E62" t="s">
        <v>244</v>
      </c>
      <c r="F62">
        <v>339</v>
      </c>
      <c r="H62" s="2">
        <f>COUNTIF(K:K,A62)</f>
        <v>1</v>
      </c>
      <c r="I62" s="2">
        <f t="shared" si="0"/>
        <v>0</v>
      </c>
      <c r="K62">
        <v>7263</v>
      </c>
      <c r="L62" t="s">
        <v>479</v>
      </c>
      <c r="M62" t="s">
        <v>280</v>
      </c>
      <c r="N62">
        <v>7</v>
      </c>
      <c r="O62" t="s">
        <v>244</v>
      </c>
      <c r="P62">
        <v>161</v>
      </c>
      <c r="R62" t="str">
        <f ca="1">IFERROR(IF(VLOOKUP(K62,A:F,6,FALSE)&lt;&gt;P62,"INSERT INTO playerTPEHistory ( playerID, playerTPE, historyDate, historySeason, historyWeek, historyLeague ) VALUES ("&amp;K62&amp;", "&amp;F62&amp;", '"&amp;TEXT(NOW(),"yyyy-mm-dd")&amp;"', "&amp;$E$1&amp;", "&amp;$G$1&amp;", '"&amp;VLOOKUP(E62,Index!B:C,2,FALSE)&amp;" ' );",""),"")</f>
        <v/>
      </c>
    </row>
    <row r="63" spans="1:18" x14ac:dyDescent="0.25">
      <c r="A63">
        <v>7263</v>
      </c>
      <c r="B63" t="s">
        <v>479</v>
      </c>
      <c r="C63" t="s">
        <v>280</v>
      </c>
      <c r="D63" t="s">
        <v>452</v>
      </c>
      <c r="E63" t="s">
        <v>244</v>
      </c>
      <c r="F63">
        <v>161</v>
      </c>
      <c r="H63" s="2">
        <f>COUNTIF(K:K,A63)</f>
        <v>1</v>
      </c>
      <c r="I63" s="2">
        <f t="shared" si="0"/>
        <v>0</v>
      </c>
      <c r="K63">
        <v>7221</v>
      </c>
      <c r="L63" t="s">
        <v>480</v>
      </c>
      <c r="M63" t="s">
        <v>281</v>
      </c>
      <c r="N63">
        <v>7</v>
      </c>
      <c r="O63" t="s">
        <v>244</v>
      </c>
      <c r="P63">
        <v>984</v>
      </c>
      <c r="R63" t="str">
        <f ca="1">IFERROR(IF(VLOOKUP(K63,A:F,6,FALSE)&lt;&gt;P63,"INSERT INTO playerTPEHistory ( playerID, playerTPE, historyDate, historySeason, historyWeek, historyLeague ) VALUES ("&amp;K63&amp;", "&amp;F63&amp;", '"&amp;TEXT(NOW(),"yyyy-mm-dd")&amp;"', "&amp;$E$1&amp;", "&amp;$G$1&amp;", '"&amp;VLOOKUP(E63,Index!B:C,2,FALSE)&amp;" ' );",""),"")</f>
        <v/>
      </c>
    </row>
    <row r="64" spans="1:18" x14ac:dyDescent="0.25">
      <c r="A64">
        <v>7221</v>
      </c>
      <c r="B64" t="s">
        <v>480</v>
      </c>
      <c r="C64" t="s">
        <v>281</v>
      </c>
      <c r="D64" t="s">
        <v>452</v>
      </c>
      <c r="E64" t="s">
        <v>244</v>
      </c>
      <c r="F64">
        <v>984</v>
      </c>
      <c r="H64" s="2">
        <f>COUNTIF(K:K,A64)</f>
        <v>1</v>
      </c>
      <c r="I64" s="2">
        <f t="shared" si="0"/>
        <v>0</v>
      </c>
      <c r="K64">
        <v>6405</v>
      </c>
      <c r="L64" t="s">
        <v>481</v>
      </c>
      <c r="M64" t="s">
        <v>277</v>
      </c>
      <c r="N64">
        <v>6</v>
      </c>
      <c r="O64" t="s">
        <v>244</v>
      </c>
      <c r="P64">
        <v>579</v>
      </c>
      <c r="R64" t="str">
        <f ca="1">IFERROR(IF(VLOOKUP(K64,A:F,6,FALSE)&lt;&gt;P64,"INSERT INTO playerTPEHistory ( playerID, playerTPE, historyDate, historySeason, historyWeek, historyLeague ) VALUES ("&amp;K64&amp;", "&amp;F64&amp;", '"&amp;TEXT(NOW(),"yyyy-mm-dd")&amp;"', "&amp;$E$1&amp;", "&amp;$G$1&amp;", '"&amp;VLOOKUP(E64,Index!B:C,2,FALSE)&amp;" ' );",""),"")</f>
        <v/>
      </c>
    </row>
    <row r="65" spans="1:18" x14ac:dyDescent="0.25">
      <c r="A65">
        <v>6405</v>
      </c>
      <c r="B65" t="s">
        <v>481</v>
      </c>
      <c r="C65" t="s">
        <v>277</v>
      </c>
      <c r="D65" t="s">
        <v>454</v>
      </c>
      <c r="E65" t="s">
        <v>244</v>
      </c>
      <c r="F65">
        <v>579</v>
      </c>
      <c r="H65" s="2">
        <f>COUNTIF(K:K,A65)</f>
        <v>1</v>
      </c>
      <c r="I65" s="2">
        <f t="shared" si="0"/>
        <v>0</v>
      </c>
      <c r="K65">
        <v>6395</v>
      </c>
      <c r="L65" t="s">
        <v>482</v>
      </c>
      <c r="M65" t="s">
        <v>283</v>
      </c>
      <c r="N65">
        <v>6</v>
      </c>
      <c r="O65" t="s">
        <v>244</v>
      </c>
      <c r="P65">
        <v>943</v>
      </c>
      <c r="R65" t="str">
        <f ca="1">IFERROR(IF(VLOOKUP(K65,A:F,6,FALSE)&lt;&gt;P65,"INSERT INTO playerTPEHistory ( playerID, playerTPE, historyDate, historySeason, historyWeek, historyLeague ) VALUES ("&amp;K65&amp;", "&amp;F65&amp;", '"&amp;TEXT(NOW(),"yyyy-mm-dd")&amp;"', "&amp;$E$1&amp;", "&amp;$G$1&amp;", '"&amp;VLOOKUP(E65,Index!B:C,2,FALSE)&amp;" ' );",""),"")</f>
        <v>INSERT INTO playerTPEHistory ( playerID, playerTPE, historyDate, historySeason, historyWeek, historyLeague ) VALUES (6395, 579, '2019-04-01', 14, 4, 'NSFL ' );</v>
      </c>
    </row>
    <row r="66" spans="1:18" x14ac:dyDescent="0.25">
      <c r="A66">
        <v>6395</v>
      </c>
      <c r="B66" t="s">
        <v>482</v>
      </c>
      <c r="C66" t="s">
        <v>283</v>
      </c>
      <c r="D66" t="s">
        <v>454</v>
      </c>
      <c r="E66" t="s">
        <v>244</v>
      </c>
      <c r="F66">
        <v>954</v>
      </c>
      <c r="H66" s="2">
        <f>COUNTIF(K:K,A66)</f>
        <v>1</v>
      </c>
      <c r="I66" s="2">
        <f t="shared" si="0"/>
        <v>0</v>
      </c>
      <c r="K66">
        <v>5621</v>
      </c>
      <c r="L66" t="s">
        <v>483</v>
      </c>
      <c r="M66" t="s">
        <v>275</v>
      </c>
      <c r="N66">
        <v>5</v>
      </c>
      <c r="O66" t="s">
        <v>244</v>
      </c>
      <c r="P66">
        <v>238</v>
      </c>
      <c r="R66" t="str">
        <f ca="1">IFERROR(IF(VLOOKUP(K66,A:F,6,FALSE)&lt;&gt;P66,"INSERT INTO playerTPEHistory ( playerID, playerTPE, historyDate, historySeason, historyWeek, historyLeague ) VALUES ("&amp;K66&amp;", "&amp;F66&amp;", '"&amp;TEXT(NOW(),"yyyy-mm-dd")&amp;"', "&amp;$E$1&amp;", "&amp;$G$1&amp;", '"&amp;VLOOKUP(E66,Index!B:C,2,FALSE)&amp;" ' );",""),"")</f>
        <v/>
      </c>
    </row>
    <row r="67" spans="1:18" x14ac:dyDescent="0.25">
      <c r="A67">
        <v>5621</v>
      </c>
      <c r="B67" t="s">
        <v>483</v>
      </c>
      <c r="C67" t="s">
        <v>275</v>
      </c>
      <c r="D67" t="s">
        <v>456</v>
      </c>
      <c r="E67" t="s">
        <v>244</v>
      </c>
      <c r="F67">
        <v>238</v>
      </c>
      <c r="H67" s="2">
        <f>COUNTIF(K:K,A67)</f>
        <v>1</v>
      </c>
      <c r="I67" s="2">
        <f t="shared" ref="I67:I130" si="1">IF(COUNTIF(A:A,K67)=0,1,0)</f>
        <v>0</v>
      </c>
      <c r="K67">
        <v>4656</v>
      </c>
      <c r="L67" t="s">
        <v>484</v>
      </c>
      <c r="M67" t="s">
        <v>278</v>
      </c>
      <c r="N67">
        <v>4</v>
      </c>
      <c r="O67" t="s">
        <v>244</v>
      </c>
      <c r="P67">
        <v>224</v>
      </c>
      <c r="R67" t="str">
        <f ca="1">IFERROR(IF(VLOOKUP(K67,A:F,6,FALSE)&lt;&gt;P67,"INSERT INTO playerTPEHistory ( playerID, playerTPE, historyDate, historySeason, historyWeek, historyLeague ) VALUES ("&amp;K67&amp;", "&amp;F67&amp;", '"&amp;TEXT(NOW(),"yyyy-mm-dd")&amp;"', "&amp;$E$1&amp;", "&amp;$G$1&amp;", '"&amp;VLOOKUP(E67,Index!B:C,2,FALSE)&amp;" ' );",""),"")</f>
        <v/>
      </c>
    </row>
    <row r="68" spans="1:18" x14ac:dyDescent="0.25">
      <c r="A68">
        <v>4656</v>
      </c>
      <c r="B68" t="s">
        <v>484</v>
      </c>
      <c r="C68" t="s">
        <v>278</v>
      </c>
      <c r="D68" t="s">
        <v>459</v>
      </c>
      <c r="E68" t="s">
        <v>244</v>
      </c>
      <c r="F68">
        <v>224</v>
      </c>
      <c r="H68" s="2">
        <f>COUNTIF(K:K,A68)</f>
        <v>1</v>
      </c>
      <c r="I68" s="2">
        <f t="shared" si="1"/>
        <v>0</v>
      </c>
      <c r="K68">
        <v>11658</v>
      </c>
      <c r="L68" t="s">
        <v>485</v>
      </c>
      <c r="M68" t="s">
        <v>278</v>
      </c>
      <c r="N68">
        <v>14</v>
      </c>
      <c r="O68" t="s">
        <v>245</v>
      </c>
      <c r="P68">
        <v>187</v>
      </c>
      <c r="R68" t="str">
        <f ca="1">IFERROR(IF(VLOOKUP(K68,A:F,6,FALSE)&lt;&gt;P68,"INSERT INTO playerTPEHistory ( playerID, playerTPE, historyDate, historySeason, historyWeek, historyLeague ) VALUES ("&amp;K68&amp;", "&amp;F68&amp;", '"&amp;TEXT(NOW(),"yyyy-mm-dd")&amp;"', "&amp;$E$1&amp;", "&amp;$G$1&amp;", '"&amp;VLOOKUP(E68,Index!B:C,2,FALSE)&amp;" ' );",""),"")</f>
        <v/>
      </c>
    </row>
    <row r="69" spans="1:18" x14ac:dyDescent="0.25">
      <c r="A69">
        <v>11658</v>
      </c>
      <c r="B69" t="s">
        <v>485</v>
      </c>
      <c r="C69" t="s">
        <v>278</v>
      </c>
      <c r="D69" t="s">
        <v>486</v>
      </c>
      <c r="E69" t="s">
        <v>245</v>
      </c>
      <c r="F69">
        <v>187</v>
      </c>
      <c r="H69" s="2">
        <f>COUNTIF(K:K,A69)</f>
        <v>1</v>
      </c>
      <c r="I69" s="2">
        <f t="shared" si="1"/>
        <v>0</v>
      </c>
      <c r="K69">
        <v>11533</v>
      </c>
      <c r="L69" t="s">
        <v>487</v>
      </c>
      <c r="M69" t="s">
        <v>282</v>
      </c>
      <c r="N69">
        <v>13</v>
      </c>
      <c r="O69" t="s">
        <v>245</v>
      </c>
      <c r="P69">
        <v>155</v>
      </c>
      <c r="R69" t="str">
        <f ca="1">IFERROR(IF(VLOOKUP(K69,A:F,6,FALSE)&lt;&gt;P69,"INSERT INTO playerTPEHistory ( playerID, playerTPE, historyDate, historySeason, historyWeek, historyLeague ) VALUES ("&amp;K69&amp;", "&amp;F69&amp;", '"&amp;TEXT(NOW(),"yyyy-mm-dd")&amp;"', "&amp;$E$1&amp;", "&amp;$G$1&amp;", '"&amp;VLOOKUP(E69,Index!B:C,2,FALSE)&amp;" ' );",""),"")</f>
        <v/>
      </c>
    </row>
    <row r="70" spans="1:18" x14ac:dyDescent="0.25">
      <c r="A70">
        <v>11533</v>
      </c>
      <c r="B70" t="s">
        <v>487</v>
      </c>
      <c r="C70" t="s">
        <v>282</v>
      </c>
      <c r="D70" t="s">
        <v>409</v>
      </c>
      <c r="E70" t="s">
        <v>245</v>
      </c>
      <c r="F70">
        <v>155</v>
      </c>
      <c r="H70" s="2">
        <f>COUNTIF(K:K,A70)</f>
        <v>1</v>
      </c>
      <c r="I70" s="2">
        <f t="shared" si="1"/>
        <v>0</v>
      </c>
      <c r="K70">
        <v>11082</v>
      </c>
      <c r="L70" t="s">
        <v>490</v>
      </c>
      <c r="M70" t="s">
        <v>279</v>
      </c>
      <c r="N70">
        <v>13</v>
      </c>
      <c r="O70" t="s">
        <v>245</v>
      </c>
      <c r="P70">
        <v>143</v>
      </c>
      <c r="R70" t="str">
        <f ca="1">IFERROR(IF(VLOOKUP(K70,A:F,6,FALSE)&lt;&gt;P70,"INSERT INTO playerTPEHistory ( playerID, playerTPE, historyDate, historySeason, historyWeek, historyLeague ) VALUES ("&amp;K70&amp;", "&amp;F70&amp;", '"&amp;TEXT(NOW(),"yyyy-mm-dd")&amp;"', "&amp;$E$1&amp;", "&amp;$G$1&amp;", '"&amp;VLOOKUP(E70,Index!B:C,2,FALSE)&amp;" ' );",""),"")</f>
        <v/>
      </c>
    </row>
    <row r="71" spans="1:18" x14ac:dyDescent="0.25">
      <c r="A71">
        <v>11418</v>
      </c>
      <c r="B71" t="s">
        <v>488</v>
      </c>
      <c r="C71" t="s">
        <v>280</v>
      </c>
      <c r="D71" t="s">
        <v>409</v>
      </c>
      <c r="E71" t="s">
        <v>245</v>
      </c>
      <c r="F71">
        <v>50</v>
      </c>
      <c r="H71" s="2">
        <f>COUNTIF(K:K,A71)</f>
        <v>1</v>
      </c>
      <c r="I71" s="2">
        <f t="shared" si="1"/>
        <v>0</v>
      </c>
      <c r="K71">
        <v>10864</v>
      </c>
      <c r="L71" t="s">
        <v>491</v>
      </c>
      <c r="M71" t="s">
        <v>282</v>
      </c>
      <c r="N71">
        <v>12</v>
      </c>
      <c r="O71" t="s">
        <v>245</v>
      </c>
      <c r="P71">
        <v>248</v>
      </c>
      <c r="R71" t="str">
        <f ca="1">IFERROR(IF(VLOOKUP(K71,A:F,6,FALSE)&lt;&gt;P71,"INSERT INTO playerTPEHistory ( playerID, playerTPE, historyDate, historySeason, historyWeek, historyLeague ) VALUES ("&amp;K71&amp;", "&amp;F71&amp;", '"&amp;TEXT(NOW(),"yyyy-mm-dd")&amp;"', "&amp;$E$1&amp;", "&amp;$G$1&amp;", '"&amp;VLOOKUP(E71,Index!B:C,2,FALSE)&amp;" ' );",""),"")</f>
        <v/>
      </c>
    </row>
    <row r="72" spans="1:18" x14ac:dyDescent="0.25">
      <c r="A72">
        <v>11408</v>
      </c>
      <c r="B72" t="s">
        <v>489</v>
      </c>
      <c r="C72" t="s">
        <v>276</v>
      </c>
      <c r="D72" t="s">
        <v>409</v>
      </c>
      <c r="E72" t="s">
        <v>245</v>
      </c>
      <c r="F72">
        <v>142</v>
      </c>
      <c r="H72" s="2">
        <f>COUNTIF(K:K,A72)</f>
        <v>1</v>
      </c>
      <c r="I72" s="2">
        <f t="shared" si="1"/>
        <v>0</v>
      </c>
      <c r="K72">
        <v>10638</v>
      </c>
      <c r="L72" t="s">
        <v>492</v>
      </c>
      <c r="M72" t="s">
        <v>278</v>
      </c>
      <c r="N72">
        <v>12</v>
      </c>
      <c r="O72" t="s">
        <v>245</v>
      </c>
      <c r="P72">
        <v>414</v>
      </c>
      <c r="R72" t="str">
        <f ca="1">IFERROR(IF(VLOOKUP(K72,A:F,6,FALSE)&lt;&gt;P72,"INSERT INTO playerTPEHistory ( playerID, playerTPE, historyDate, historySeason, historyWeek, historyLeague ) VALUES ("&amp;K72&amp;", "&amp;F72&amp;", '"&amp;TEXT(NOW(),"yyyy-mm-dd")&amp;"', "&amp;$E$1&amp;", "&amp;$G$1&amp;", '"&amp;VLOOKUP(E72,Index!B:C,2,FALSE)&amp;" ' );",""),"")</f>
        <v/>
      </c>
    </row>
    <row r="73" spans="1:18" x14ac:dyDescent="0.25">
      <c r="A73">
        <v>11082</v>
      </c>
      <c r="B73" t="s">
        <v>490</v>
      </c>
      <c r="C73" t="s">
        <v>279</v>
      </c>
      <c r="D73" t="s">
        <v>409</v>
      </c>
      <c r="E73" t="s">
        <v>245</v>
      </c>
      <c r="F73">
        <v>143</v>
      </c>
      <c r="H73" s="2">
        <f>COUNTIF(K:K,A73)</f>
        <v>1</v>
      </c>
      <c r="I73" s="2">
        <f t="shared" si="1"/>
        <v>0</v>
      </c>
      <c r="K73">
        <v>10529</v>
      </c>
      <c r="L73" t="s">
        <v>493</v>
      </c>
      <c r="M73" t="s">
        <v>278</v>
      </c>
      <c r="N73">
        <v>12</v>
      </c>
      <c r="O73" t="s">
        <v>245</v>
      </c>
      <c r="P73">
        <v>228</v>
      </c>
      <c r="R73" t="str">
        <f ca="1">IFERROR(IF(VLOOKUP(K73,A:F,6,FALSE)&lt;&gt;P73,"INSERT INTO playerTPEHistory ( playerID, playerTPE, historyDate, historySeason, historyWeek, historyLeague ) VALUES ("&amp;K73&amp;", "&amp;F73&amp;", '"&amp;TEXT(NOW(),"yyyy-mm-dd")&amp;"', "&amp;$E$1&amp;", "&amp;$G$1&amp;", '"&amp;VLOOKUP(E73,Index!B:C,2,FALSE)&amp;" ' );",""),"")</f>
        <v/>
      </c>
    </row>
    <row r="74" spans="1:18" x14ac:dyDescent="0.25">
      <c r="A74">
        <v>10864</v>
      </c>
      <c r="B74" t="s">
        <v>491</v>
      </c>
      <c r="C74" t="s">
        <v>282</v>
      </c>
      <c r="D74" t="s">
        <v>411</v>
      </c>
      <c r="E74" t="s">
        <v>245</v>
      </c>
      <c r="F74">
        <v>248</v>
      </c>
      <c r="H74" s="2">
        <f>COUNTIF(K:K,A74)</f>
        <v>1</v>
      </c>
      <c r="I74" s="2">
        <f t="shared" si="1"/>
        <v>0</v>
      </c>
      <c r="K74">
        <v>10354</v>
      </c>
      <c r="L74" t="s">
        <v>494</v>
      </c>
      <c r="M74" t="s">
        <v>276</v>
      </c>
      <c r="N74">
        <v>11</v>
      </c>
      <c r="O74" t="s">
        <v>245</v>
      </c>
      <c r="P74">
        <v>258</v>
      </c>
      <c r="R74" t="str">
        <f ca="1">IFERROR(IF(VLOOKUP(K74,A:F,6,FALSE)&lt;&gt;P74,"INSERT INTO playerTPEHistory ( playerID, playerTPE, historyDate, historySeason, historyWeek, historyLeague ) VALUES ("&amp;K74&amp;", "&amp;F74&amp;", '"&amp;TEXT(NOW(),"yyyy-mm-dd")&amp;"', "&amp;$E$1&amp;", "&amp;$G$1&amp;", '"&amp;VLOOKUP(E74,Index!B:C,2,FALSE)&amp;" ' );",""),"")</f>
        <v/>
      </c>
    </row>
    <row r="75" spans="1:18" x14ac:dyDescent="0.25">
      <c r="A75">
        <v>10638</v>
      </c>
      <c r="B75" t="s">
        <v>492</v>
      </c>
      <c r="C75" t="s">
        <v>278</v>
      </c>
      <c r="D75" t="s">
        <v>411</v>
      </c>
      <c r="E75" t="s">
        <v>245</v>
      </c>
      <c r="F75">
        <v>414</v>
      </c>
      <c r="H75" s="2">
        <f>COUNTIF(K:K,A75)</f>
        <v>1</v>
      </c>
      <c r="I75" s="2">
        <f t="shared" si="1"/>
        <v>0</v>
      </c>
      <c r="K75">
        <v>10256</v>
      </c>
      <c r="L75" t="s">
        <v>495</v>
      </c>
      <c r="M75" t="s">
        <v>281</v>
      </c>
      <c r="N75">
        <v>11</v>
      </c>
      <c r="O75" t="s">
        <v>245</v>
      </c>
      <c r="P75">
        <v>386</v>
      </c>
      <c r="R75" t="str">
        <f ca="1">IFERROR(IF(VLOOKUP(K75,A:F,6,FALSE)&lt;&gt;P75,"INSERT INTO playerTPEHistory ( playerID, playerTPE, historyDate, historySeason, historyWeek, historyLeague ) VALUES ("&amp;K75&amp;", "&amp;F75&amp;", '"&amp;TEXT(NOW(),"yyyy-mm-dd")&amp;"', "&amp;$E$1&amp;", "&amp;$G$1&amp;", '"&amp;VLOOKUP(E75,Index!B:C,2,FALSE)&amp;" ' );",""),"")</f>
        <v/>
      </c>
    </row>
    <row r="76" spans="1:18" x14ac:dyDescent="0.25">
      <c r="A76">
        <v>10529</v>
      </c>
      <c r="B76" t="s">
        <v>493</v>
      </c>
      <c r="C76" t="s">
        <v>278</v>
      </c>
      <c r="D76" t="s">
        <v>411</v>
      </c>
      <c r="E76" t="s">
        <v>245</v>
      </c>
      <c r="F76">
        <v>228</v>
      </c>
      <c r="H76" s="2">
        <f>COUNTIF(K:K,A76)</f>
        <v>1</v>
      </c>
      <c r="I76" s="2">
        <f t="shared" si="1"/>
        <v>0</v>
      </c>
      <c r="K76">
        <v>10126</v>
      </c>
      <c r="L76" t="s">
        <v>496</v>
      </c>
      <c r="M76" t="s">
        <v>274</v>
      </c>
      <c r="N76">
        <v>11</v>
      </c>
      <c r="O76" t="s">
        <v>245</v>
      </c>
      <c r="P76">
        <v>604</v>
      </c>
      <c r="R76" t="str">
        <f ca="1">IFERROR(IF(VLOOKUP(K76,A:F,6,FALSE)&lt;&gt;P76,"INSERT INTO playerTPEHistory ( playerID, playerTPE, historyDate, historySeason, historyWeek, historyLeague ) VALUES ("&amp;K76&amp;", "&amp;F76&amp;", '"&amp;TEXT(NOW(),"yyyy-mm-dd")&amp;"', "&amp;$E$1&amp;", "&amp;$G$1&amp;", '"&amp;VLOOKUP(E76,Index!B:C,2,FALSE)&amp;" ' );",""),"")</f>
        <v/>
      </c>
    </row>
    <row r="77" spans="1:18" x14ac:dyDescent="0.25">
      <c r="A77">
        <v>10354</v>
      </c>
      <c r="B77" t="s">
        <v>494</v>
      </c>
      <c r="C77" t="s">
        <v>276</v>
      </c>
      <c r="D77" t="s">
        <v>418</v>
      </c>
      <c r="E77" t="s">
        <v>245</v>
      </c>
      <c r="F77">
        <v>258</v>
      </c>
      <c r="H77" s="2">
        <f>COUNTIF(K:K,A77)</f>
        <v>1</v>
      </c>
      <c r="I77" s="2">
        <f t="shared" si="1"/>
        <v>0</v>
      </c>
      <c r="K77">
        <v>10121</v>
      </c>
      <c r="L77" t="s">
        <v>497</v>
      </c>
      <c r="M77" t="s">
        <v>278</v>
      </c>
      <c r="N77">
        <v>11</v>
      </c>
      <c r="O77" t="s">
        <v>245</v>
      </c>
      <c r="P77">
        <v>453</v>
      </c>
      <c r="R77" t="str">
        <f ca="1">IFERROR(IF(VLOOKUP(K77,A:F,6,FALSE)&lt;&gt;P77,"INSERT INTO playerTPEHistory ( playerID, playerTPE, historyDate, historySeason, historyWeek, historyLeague ) VALUES ("&amp;K77&amp;", "&amp;F77&amp;", '"&amp;TEXT(NOW(),"yyyy-mm-dd")&amp;"', "&amp;$E$1&amp;", "&amp;$G$1&amp;", '"&amp;VLOOKUP(E77,Index!B:C,2,FALSE)&amp;" ' );",""),"")</f>
        <v/>
      </c>
    </row>
    <row r="78" spans="1:18" x14ac:dyDescent="0.25">
      <c r="A78">
        <v>10256</v>
      </c>
      <c r="B78" t="s">
        <v>495</v>
      </c>
      <c r="C78" t="s">
        <v>281</v>
      </c>
      <c r="D78" t="s">
        <v>418</v>
      </c>
      <c r="E78" t="s">
        <v>245</v>
      </c>
      <c r="F78">
        <v>386</v>
      </c>
      <c r="H78" s="2">
        <f>COUNTIF(K:K,A78)</f>
        <v>1</v>
      </c>
      <c r="I78" s="2">
        <f t="shared" si="1"/>
        <v>0</v>
      </c>
      <c r="K78">
        <v>10018</v>
      </c>
      <c r="L78" t="s">
        <v>498</v>
      </c>
      <c r="M78" t="s">
        <v>277</v>
      </c>
      <c r="N78">
        <v>11</v>
      </c>
      <c r="O78" t="s">
        <v>245</v>
      </c>
      <c r="P78">
        <v>629</v>
      </c>
      <c r="R78" t="str">
        <f ca="1">IFERROR(IF(VLOOKUP(K78,A:F,6,FALSE)&lt;&gt;P78,"INSERT INTO playerTPEHistory ( playerID, playerTPE, historyDate, historySeason, historyWeek, historyLeague ) VALUES ("&amp;K78&amp;", "&amp;F78&amp;", '"&amp;TEXT(NOW(),"yyyy-mm-dd")&amp;"', "&amp;$E$1&amp;", "&amp;$G$1&amp;", '"&amp;VLOOKUP(E78,Index!B:C,2,FALSE)&amp;" ' );",""),"")</f>
        <v>INSERT INTO playerTPEHistory ( playerID, playerTPE, historyDate, historySeason, historyWeek, historyLeague ) VALUES (10018, 386, '2019-04-01', 14, 4, 'NSFL ' );</v>
      </c>
    </row>
    <row r="79" spans="1:18" x14ac:dyDescent="0.25">
      <c r="A79">
        <v>10126</v>
      </c>
      <c r="B79" t="s">
        <v>496</v>
      </c>
      <c r="C79" t="s">
        <v>274</v>
      </c>
      <c r="D79" t="s">
        <v>418</v>
      </c>
      <c r="E79" t="s">
        <v>245</v>
      </c>
      <c r="F79">
        <v>604</v>
      </c>
      <c r="H79" s="2">
        <f>COUNTIF(K:K,A79)</f>
        <v>1</v>
      </c>
      <c r="I79" s="2">
        <f t="shared" si="1"/>
        <v>0</v>
      </c>
      <c r="K79">
        <v>10004</v>
      </c>
      <c r="L79" t="s">
        <v>499</v>
      </c>
      <c r="M79" t="s">
        <v>275</v>
      </c>
      <c r="N79">
        <v>11</v>
      </c>
      <c r="O79" t="s">
        <v>245</v>
      </c>
      <c r="P79">
        <v>800</v>
      </c>
      <c r="R79" t="str">
        <f ca="1">IFERROR(IF(VLOOKUP(K79,A:F,6,FALSE)&lt;&gt;P79,"INSERT INTO playerTPEHistory ( playerID, playerTPE, historyDate, historySeason, historyWeek, historyLeague ) VALUES ("&amp;K79&amp;", "&amp;F79&amp;", '"&amp;TEXT(NOW(),"yyyy-mm-dd")&amp;"', "&amp;$E$1&amp;", "&amp;$G$1&amp;", '"&amp;VLOOKUP(E79,Index!B:C,2,FALSE)&amp;" ' );",""),"")</f>
        <v/>
      </c>
    </row>
    <row r="80" spans="1:18" x14ac:dyDescent="0.25">
      <c r="A80">
        <v>10121</v>
      </c>
      <c r="B80" t="s">
        <v>497</v>
      </c>
      <c r="C80" t="s">
        <v>278</v>
      </c>
      <c r="D80" t="s">
        <v>418</v>
      </c>
      <c r="E80" t="s">
        <v>245</v>
      </c>
      <c r="F80">
        <v>453</v>
      </c>
      <c r="H80" s="2">
        <f>COUNTIF(K:K,A80)</f>
        <v>1</v>
      </c>
      <c r="I80" s="2">
        <f t="shared" si="1"/>
        <v>1</v>
      </c>
      <c r="K80">
        <v>9820</v>
      </c>
      <c r="L80" t="s">
        <v>778</v>
      </c>
      <c r="M80" t="s">
        <v>275</v>
      </c>
      <c r="N80">
        <v>10</v>
      </c>
      <c r="O80" t="s">
        <v>245</v>
      </c>
      <c r="P80">
        <v>96</v>
      </c>
      <c r="R80" t="str">
        <f ca="1">IFERROR(IF(VLOOKUP(K80,A:F,6,FALSE)&lt;&gt;P80,"INSERT INTO playerTPEHistory ( playerID, playerTPE, historyDate, historySeason, historyWeek, historyLeague ) VALUES ("&amp;K80&amp;", "&amp;F80&amp;", '"&amp;TEXT(NOW(),"yyyy-mm-dd")&amp;"', "&amp;$E$1&amp;", "&amp;$G$1&amp;", '"&amp;VLOOKUP(E80,Index!B:C,2,FALSE)&amp;" ' );",""),"")</f>
        <v/>
      </c>
    </row>
    <row r="81" spans="1:18" x14ac:dyDescent="0.25">
      <c r="A81">
        <v>10018</v>
      </c>
      <c r="B81" t="s">
        <v>498</v>
      </c>
      <c r="C81" t="s">
        <v>277</v>
      </c>
      <c r="D81" t="s">
        <v>418</v>
      </c>
      <c r="E81" t="s">
        <v>245</v>
      </c>
      <c r="F81">
        <v>636</v>
      </c>
      <c r="H81" s="2">
        <f>COUNTIF(K:K,A81)</f>
        <v>1</v>
      </c>
      <c r="I81" s="2">
        <f t="shared" si="1"/>
        <v>0</v>
      </c>
      <c r="K81">
        <v>9512</v>
      </c>
      <c r="L81" t="s">
        <v>500</v>
      </c>
      <c r="M81" t="s">
        <v>281</v>
      </c>
      <c r="N81">
        <v>10</v>
      </c>
      <c r="O81" t="s">
        <v>245</v>
      </c>
      <c r="P81">
        <v>734</v>
      </c>
      <c r="R81" t="str">
        <f ca="1">IFERROR(IF(VLOOKUP(K81,A:F,6,FALSE)&lt;&gt;P81,"INSERT INTO playerTPEHistory ( playerID, playerTPE, historyDate, historySeason, historyWeek, historyLeague ) VALUES ("&amp;K81&amp;", "&amp;F81&amp;", '"&amp;TEXT(NOW(),"yyyy-mm-dd")&amp;"', "&amp;$E$1&amp;", "&amp;$G$1&amp;", '"&amp;VLOOKUP(E81,Index!B:C,2,FALSE)&amp;" ' );",""),"")</f>
        <v>INSERT INTO playerTPEHistory ( playerID, playerTPE, historyDate, historySeason, historyWeek, historyLeague ) VALUES (9512, 636, '2019-04-01', 14, 4, 'NSFL ' );</v>
      </c>
    </row>
    <row r="82" spans="1:18" x14ac:dyDescent="0.25">
      <c r="A82">
        <v>10004</v>
      </c>
      <c r="B82" t="s">
        <v>499</v>
      </c>
      <c r="C82" t="s">
        <v>275</v>
      </c>
      <c r="D82" t="s">
        <v>418</v>
      </c>
      <c r="E82" t="s">
        <v>245</v>
      </c>
      <c r="F82">
        <v>800</v>
      </c>
      <c r="H82" s="2">
        <f>COUNTIF(K:K,A82)</f>
        <v>1</v>
      </c>
      <c r="I82" s="2">
        <f t="shared" si="1"/>
        <v>0</v>
      </c>
      <c r="K82">
        <v>9406</v>
      </c>
      <c r="L82" t="s">
        <v>501</v>
      </c>
      <c r="M82" t="s">
        <v>278</v>
      </c>
      <c r="N82">
        <v>10</v>
      </c>
      <c r="O82" t="s">
        <v>245</v>
      </c>
      <c r="P82">
        <v>90</v>
      </c>
      <c r="R82" t="str">
        <f ca="1">IFERROR(IF(VLOOKUP(K82,A:F,6,FALSE)&lt;&gt;P82,"INSERT INTO playerTPEHistory ( playerID, playerTPE, historyDate, historySeason, historyWeek, historyLeague ) VALUES ("&amp;K82&amp;", "&amp;F82&amp;", '"&amp;TEXT(NOW(),"yyyy-mm-dd")&amp;"', "&amp;$E$1&amp;", "&amp;$G$1&amp;", '"&amp;VLOOKUP(E82,Index!B:C,2,FALSE)&amp;" ' );",""),"")</f>
        <v/>
      </c>
    </row>
    <row r="83" spans="1:18" x14ac:dyDescent="0.25">
      <c r="A83">
        <v>9512</v>
      </c>
      <c r="B83" t="s">
        <v>500</v>
      </c>
      <c r="C83" t="s">
        <v>281</v>
      </c>
      <c r="D83" t="s">
        <v>423</v>
      </c>
      <c r="E83" t="s">
        <v>245</v>
      </c>
      <c r="F83">
        <v>745</v>
      </c>
      <c r="H83" s="2">
        <f>COUNTIF(K:K,A83)</f>
        <v>1</v>
      </c>
      <c r="I83" s="2">
        <f t="shared" si="1"/>
        <v>0</v>
      </c>
      <c r="K83">
        <v>9229</v>
      </c>
      <c r="L83" t="s">
        <v>471</v>
      </c>
      <c r="M83" t="s">
        <v>276</v>
      </c>
      <c r="N83">
        <v>10</v>
      </c>
      <c r="O83" t="s">
        <v>245</v>
      </c>
      <c r="P83">
        <v>468</v>
      </c>
      <c r="R83" t="str">
        <f ca="1">IFERROR(IF(VLOOKUP(K83,A:F,6,FALSE)&lt;&gt;P83,"INSERT INTO playerTPEHistory ( playerID, playerTPE, historyDate, historySeason, historyWeek, historyLeague ) VALUES ("&amp;K83&amp;", "&amp;F83&amp;", '"&amp;TEXT(NOW(),"yyyy-mm-dd")&amp;"', "&amp;$E$1&amp;", "&amp;$G$1&amp;", '"&amp;VLOOKUP(E83,Index!B:C,2,FALSE)&amp;" ' );",""),"")</f>
        <v/>
      </c>
    </row>
    <row r="84" spans="1:18" x14ac:dyDescent="0.25">
      <c r="A84">
        <v>9406</v>
      </c>
      <c r="B84" t="s">
        <v>501</v>
      </c>
      <c r="C84" t="s">
        <v>278</v>
      </c>
      <c r="D84" t="s">
        <v>423</v>
      </c>
      <c r="E84" t="s">
        <v>245</v>
      </c>
      <c r="F84">
        <v>90</v>
      </c>
      <c r="H84" s="2">
        <f>COUNTIF(K:K,A84)</f>
        <v>1</v>
      </c>
      <c r="I84" s="2">
        <f t="shared" si="1"/>
        <v>0</v>
      </c>
      <c r="K84">
        <v>9220</v>
      </c>
      <c r="L84" t="s">
        <v>502</v>
      </c>
      <c r="M84" t="s">
        <v>283</v>
      </c>
      <c r="N84">
        <v>10</v>
      </c>
      <c r="O84" t="s">
        <v>245</v>
      </c>
      <c r="P84">
        <v>924</v>
      </c>
      <c r="R84" t="str">
        <f ca="1">IFERROR(IF(VLOOKUP(K84,A:F,6,FALSE)&lt;&gt;P84,"INSERT INTO playerTPEHistory ( playerID, playerTPE, historyDate, historySeason, historyWeek, historyLeague ) VALUES ("&amp;K84&amp;", "&amp;F84&amp;", '"&amp;TEXT(NOW(),"yyyy-mm-dd")&amp;"', "&amp;$E$1&amp;", "&amp;$G$1&amp;", '"&amp;VLOOKUP(E84,Index!B:C,2,FALSE)&amp;" ' );",""),"")</f>
        <v>INSERT INTO playerTPEHistory ( playerID, playerTPE, historyDate, historySeason, historyWeek, historyLeague ) VALUES (9220, 90, '2019-04-01', 14, 4, 'NSFL ' );</v>
      </c>
    </row>
    <row r="85" spans="1:18" x14ac:dyDescent="0.25">
      <c r="A85">
        <v>9220</v>
      </c>
      <c r="B85" t="s">
        <v>502</v>
      </c>
      <c r="C85" t="s">
        <v>283</v>
      </c>
      <c r="D85" t="s">
        <v>423</v>
      </c>
      <c r="E85" t="s">
        <v>245</v>
      </c>
      <c r="F85">
        <v>933</v>
      </c>
      <c r="H85" s="2">
        <f>COUNTIF(K:K,A85)</f>
        <v>1</v>
      </c>
      <c r="I85" s="2">
        <f t="shared" si="1"/>
        <v>0</v>
      </c>
      <c r="K85">
        <v>8553</v>
      </c>
      <c r="L85" t="s">
        <v>503</v>
      </c>
      <c r="M85" t="s">
        <v>275</v>
      </c>
      <c r="N85">
        <v>9</v>
      </c>
      <c r="O85" t="s">
        <v>245</v>
      </c>
      <c r="P85">
        <v>1020</v>
      </c>
      <c r="R85" t="str">
        <f ca="1">IFERROR(IF(VLOOKUP(K85,A:F,6,FALSE)&lt;&gt;P85,"INSERT INTO playerTPEHistory ( playerID, playerTPE, historyDate, historySeason, historyWeek, historyLeague ) VALUES ("&amp;K85&amp;", "&amp;F85&amp;", '"&amp;TEXT(NOW(),"yyyy-mm-dd")&amp;"', "&amp;$E$1&amp;", "&amp;$G$1&amp;", '"&amp;VLOOKUP(E85,Index!B:C,2,FALSE)&amp;" ' );",""),"")</f>
        <v>INSERT INTO playerTPEHistory ( playerID, playerTPE, historyDate, historySeason, historyWeek, historyLeague ) VALUES (8553, 933, '2019-04-01', 14, 4, 'NSFL ' );</v>
      </c>
    </row>
    <row r="86" spans="1:18" x14ac:dyDescent="0.25">
      <c r="A86">
        <v>8553</v>
      </c>
      <c r="B86" t="s">
        <v>503</v>
      </c>
      <c r="C86" t="s">
        <v>275</v>
      </c>
      <c r="D86" t="s">
        <v>429</v>
      </c>
      <c r="E86" t="s">
        <v>245</v>
      </c>
      <c r="F86">
        <v>1031</v>
      </c>
      <c r="H86" s="2">
        <f>COUNTIF(K:K,A86)</f>
        <v>1</v>
      </c>
      <c r="I86" s="2">
        <f t="shared" si="1"/>
        <v>0</v>
      </c>
      <c r="K86">
        <v>6687</v>
      </c>
      <c r="L86" t="s">
        <v>504</v>
      </c>
      <c r="M86" t="s">
        <v>281</v>
      </c>
      <c r="N86">
        <v>6</v>
      </c>
      <c r="O86" t="s">
        <v>245</v>
      </c>
      <c r="P86">
        <v>501</v>
      </c>
      <c r="R86" t="str">
        <f ca="1">IFERROR(IF(VLOOKUP(K86,A:F,6,FALSE)&lt;&gt;P86,"INSERT INTO playerTPEHistory ( playerID, playerTPE, historyDate, historySeason, historyWeek, historyLeague ) VALUES ("&amp;K86&amp;", "&amp;F86&amp;", '"&amp;TEXT(NOW(),"yyyy-mm-dd")&amp;"', "&amp;$E$1&amp;", "&amp;$G$1&amp;", '"&amp;VLOOKUP(E86,Index!B:C,2,FALSE)&amp;" ' );",""),"")</f>
        <v/>
      </c>
    </row>
    <row r="87" spans="1:18" x14ac:dyDescent="0.25">
      <c r="A87">
        <v>6687</v>
      </c>
      <c r="B87" t="s">
        <v>504</v>
      </c>
      <c r="C87" t="s">
        <v>281</v>
      </c>
      <c r="D87" t="s">
        <v>454</v>
      </c>
      <c r="E87" t="s">
        <v>245</v>
      </c>
      <c r="F87">
        <v>501</v>
      </c>
      <c r="H87" s="2">
        <f>COUNTIF(K:K,A87)</f>
        <v>1</v>
      </c>
      <c r="I87" s="2">
        <f t="shared" si="1"/>
        <v>0</v>
      </c>
      <c r="K87">
        <v>11946</v>
      </c>
      <c r="L87" t="s">
        <v>505</v>
      </c>
      <c r="M87" t="s">
        <v>277</v>
      </c>
      <c r="N87">
        <v>14</v>
      </c>
      <c r="O87" t="s">
        <v>246</v>
      </c>
      <c r="P87">
        <v>157</v>
      </c>
      <c r="R87" t="str">
        <f ca="1">IFERROR(IF(VLOOKUP(K87,A:F,6,FALSE)&lt;&gt;P87,"INSERT INTO playerTPEHistory ( playerID, playerTPE, historyDate, historySeason, historyWeek, historyLeague ) VALUES ("&amp;K87&amp;", "&amp;F87&amp;", '"&amp;TEXT(NOW(),"yyyy-mm-dd")&amp;"', "&amp;$E$1&amp;", "&amp;$G$1&amp;", '"&amp;VLOOKUP(E87,Index!B:C,2,FALSE)&amp;" ' );",""),"")</f>
        <v>INSERT INTO playerTPEHistory ( playerID, playerTPE, historyDate, historySeason, historyWeek, historyLeague ) VALUES (11946, 501, '2019-04-01', 14, 4, 'NSFL ' );</v>
      </c>
    </row>
    <row r="88" spans="1:18" x14ac:dyDescent="0.25">
      <c r="A88">
        <v>11946</v>
      </c>
      <c r="B88" t="s">
        <v>505</v>
      </c>
      <c r="C88" t="s">
        <v>277</v>
      </c>
      <c r="D88" t="s">
        <v>486</v>
      </c>
      <c r="E88" t="s">
        <v>246</v>
      </c>
      <c r="F88">
        <v>162</v>
      </c>
      <c r="H88" s="2">
        <f>COUNTIF(K:K,A88)</f>
        <v>1</v>
      </c>
      <c r="I88" s="2">
        <f t="shared" si="1"/>
        <v>0</v>
      </c>
      <c r="K88">
        <v>11536</v>
      </c>
      <c r="L88" t="s">
        <v>506</v>
      </c>
      <c r="M88" t="s">
        <v>275</v>
      </c>
      <c r="N88">
        <v>13</v>
      </c>
      <c r="O88" t="s">
        <v>246</v>
      </c>
      <c r="P88">
        <v>195</v>
      </c>
      <c r="R88" t="str">
        <f ca="1">IFERROR(IF(VLOOKUP(K88,A:F,6,FALSE)&lt;&gt;P88,"INSERT INTO playerTPEHistory ( playerID, playerTPE, historyDate, historySeason, historyWeek, historyLeague ) VALUES ("&amp;K88&amp;", "&amp;F88&amp;", '"&amp;TEXT(NOW(),"yyyy-mm-dd")&amp;"', "&amp;$E$1&amp;", "&amp;$G$1&amp;", '"&amp;VLOOKUP(E88,Index!B:C,2,FALSE)&amp;" ' );",""),"")</f>
        <v>INSERT INTO playerTPEHistory ( playerID, playerTPE, historyDate, historySeason, historyWeek, historyLeague ) VALUES (11536, 162, '2019-04-01', 14, 4, 'NSFL ' );</v>
      </c>
    </row>
    <row r="89" spans="1:18" x14ac:dyDescent="0.25">
      <c r="A89">
        <v>11536</v>
      </c>
      <c r="B89" t="s">
        <v>506</v>
      </c>
      <c r="C89" t="s">
        <v>275</v>
      </c>
      <c r="D89" t="s">
        <v>409</v>
      </c>
      <c r="E89" t="s">
        <v>246</v>
      </c>
      <c r="F89">
        <v>200</v>
      </c>
      <c r="H89" s="2">
        <f>COUNTIF(K:K,A89)</f>
        <v>1</v>
      </c>
      <c r="I89" s="2">
        <f t="shared" si="1"/>
        <v>0</v>
      </c>
      <c r="K89">
        <v>11451</v>
      </c>
      <c r="L89" t="s">
        <v>507</v>
      </c>
      <c r="M89" t="s">
        <v>281</v>
      </c>
      <c r="N89">
        <v>13</v>
      </c>
      <c r="O89" t="s">
        <v>246</v>
      </c>
      <c r="P89">
        <v>361</v>
      </c>
      <c r="R89" t="str">
        <f ca="1">IFERROR(IF(VLOOKUP(K89,A:F,6,FALSE)&lt;&gt;P89,"INSERT INTO playerTPEHistory ( playerID, playerTPE, historyDate, historySeason, historyWeek, historyLeague ) VALUES ("&amp;K89&amp;", "&amp;F89&amp;", '"&amp;TEXT(NOW(),"yyyy-mm-dd")&amp;"', "&amp;$E$1&amp;", "&amp;$G$1&amp;", '"&amp;VLOOKUP(E89,Index!B:C,2,FALSE)&amp;" ' );",""),"")</f>
        <v>INSERT INTO playerTPEHistory ( playerID, playerTPE, historyDate, historySeason, historyWeek, historyLeague ) VALUES (11451, 200, '2019-04-01', 14, 4, 'NSFL ' );</v>
      </c>
    </row>
    <row r="90" spans="1:18" x14ac:dyDescent="0.25">
      <c r="A90">
        <v>11451</v>
      </c>
      <c r="B90" t="s">
        <v>507</v>
      </c>
      <c r="C90" t="s">
        <v>281</v>
      </c>
      <c r="D90" t="s">
        <v>409</v>
      </c>
      <c r="E90" t="s">
        <v>246</v>
      </c>
      <c r="F90">
        <v>382</v>
      </c>
      <c r="H90" s="2">
        <f>COUNTIF(K:K,A90)</f>
        <v>1</v>
      </c>
      <c r="I90" s="2">
        <f t="shared" si="1"/>
        <v>0</v>
      </c>
      <c r="K90">
        <v>11170</v>
      </c>
      <c r="L90" t="s">
        <v>508</v>
      </c>
      <c r="M90" t="s">
        <v>276</v>
      </c>
      <c r="N90">
        <v>13</v>
      </c>
      <c r="O90" t="s">
        <v>246</v>
      </c>
      <c r="P90">
        <v>509</v>
      </c>
      <c r="R90" t="str">
        <f ca="1">IFERROR(IF(VLOOKUP(K90,A:F,6,FALSE)&lt;&gt;P90,"INSERT INTO playerTPEHistory ( playerID, playerTPE, historyDate, historySeason, historyWeek, historyLeague ) VALUES ("&amp;K90&amp;", "&amp;F90&amp;", '"&amp;TEXT(NOW(),"yyyy-mm-dd")&amp;"', "&amp;$E$1&amp;", "&amp;$G$1&amp;", '"&amp;VLOOKUP(E90,Index!B:C,2,FALSE)&amp;" ' );",""),"")</f>
        <v>INSERT INTO playerTPEHistory ( playerID, playerTPE, historyDate, historySeason, historyWeek, historyLeague ) VALUES (11170, 382, '2019-04-01', 14, 4, 'NSFL ' );</v>
      </c>
    </row>
    <row r="91" spans="1:18" x14ac:dyDescent="0.25">
      <c r="A91">
        <v>11170</v>
      </c>
      <c r="B91" t="s">
        <v>508</v>
      </c>
      <c r="C91" t="s">
        <v>276</v>
      </c>
      <c r="D91" t="s">
        <v>409</v>
      </c>
      <c r="E91" t="s">
        <v>246</v>
      </c>
      <c r="F91">
        <v>520</v>
      </c>
      <c r="H91" s="2">
        <f>COUNTIF(K:K,A91)</f>
        <v>1</v>
      </c>
      <c r="I91" s="2">
        <f t="shared" si="1"/>
        <v>0</v>
      </c>
      <c r="K91">
        <v>11027</v>
      </c>
      <c r="L91" t="s">
        <v>509</v>
      </c>
      <c r="M91" t="s">
        <v>278</v>
      </c>
      <c r="N91">
        <v>12</v>
      </c>
      <c r="O91" t="s">
        <v>246</v>
      </c>
      <c r="P91">
        <v>126</v>
      </c>
      <c r="R91" t="str">
        <f ca="1">IFERROR(IF(VLOOKUP(K91,A:F,6,FALSE)&lt;&gt;P91,"INSERT INTO playerTPEHistory ( playerID, playerTPE, historyDate, historySeason, historyWeek, historyLeague ) VALUES ("&amp;K91&amp;", "&amp;F91&amp;", '"&amp;TEXT(NOW(),"yyyy-mm-dd")&amp;"', "&amp;$E$1&amp;", "&amp;$G$1&amp;", '"&amp;VLOOKUP(E91,Index!B:C,2,FALSE)&amp;" ' );",""),"")</f>
        <v/>
      </c>
    </row>
    <row r="92" spans="1:18" x14ac:dyDescent="0.25">
      <c r="A92">
        <v>11027</v>
      </c>
      <c r="B92" t="s">
        <v>509</v>
      </c>
      <c r="C92" t="s">
        <v>278</v>
      </c>
      <c r="D92" t="s">
        <v>411</v>
      </c>
      <c r="E92" t="s">
        <v>246</v>
      </c>
      <c r="F92">
        <v>126</v>
      </c>
      <c r="H92" s="2">
        <f>COUNTIF(K:K,A92)</f>
        <v>1</v>
      </c>
      <c r="I92" s="2">
        <f t="shared" si="1"/>
        <v>0</v>
      </c>
      <c r="K92">
        <v>11004</v>
      </c>
      <c r="L92" t="s">
        <v>510</v>
      </c>
      <c r="M92" t="s">
        <v>281</v>
      </c>
      <c r="N92">
        <v>12</v>
      </c>
      <c r="O92" t="s">
        <v>246</v>
      </c>
      <c r="P92">
        <v>459</v>
      </c>
      <c r="R92" t="str">
        <f ca="1">IFERROR(IF(VLOOKUP(K92,A:F,6,FALSE)&lt;&gt;P92,"INSERT INTO playerTPEHistory ( playerID, playerTPE, historyDate, historySeason, historyWeek, historyLeague ) VALUES ("&amp;K92&amp;", "&amp;F92&amp;", '"&amp;TEXT(NOW(),"yyyy-mm-dd")&amp;"', "&amp;$E$1&amp;", "&amp;$G$1&amp;", '"&amp;VLOOKUP(E92,Index!B:C,2,FALSE)&amp;" ' );",""),"")</f>
        <v>INSERT INTO playerTPEHistory ( playerID, playerTPE, historyDate, historySeason, historyWeek, historyLeague ) VALUES (11004, 126, '2019-04-01', 14, 4, 'NSFL ' );</v>
      </c>
    </row>
    <row r="93" spans="1:18" x14ac:dyDescent="0.25">
      <c r="A93">
        <v>11004</v>
      </c>
      <c r="B93" t="s">
        <v>510</v>
      </c>
      <c r="C93" t="s">
        <v>281</v>
      </c>
      <c r="D93" t="s">
        <v>411</v>
      </c>
      <c r="E93" t="s">
        <v>246</v>
      </c>
      <c r="F93">
        <v>481</v>
      </c>
      <c r="H93" s="2">
        <f>COUNTIF(K:K,A93)</f>
        <v>1</v>
      </c>
      <c r="I93" s="2">
        <f t="shared" si="1"/>
        <v>0</v>
      </c>
      <c r="K93">
        <v>10738</v>
      </c>
      <c r="L93" t="s">
        <v>511</v>
      </c>
      <c r="M93" t="s">
        <v>275</v>
      </c>
      <c r="N93">
        <v>12</v>
      </c>
      <c r="O93" t="s">
        <v>246</v>
      </c>
      <c r="P93">
        <v>182</v>
      </c>
      <c r="R93" t="str">
        <f ca="1">IFERROR(IF(VLOOKUP(K93,A:F,6,FALSE)&lt;&gt;P93,"INSERT INTO playerTPEHistory ( playerID, playerTPE, historyDate, historySeason, historyWeek, historyLeague ) VALUES ("&amp;K93&amp;", "&amp;F93&amp;", '"&amp;TEXT(NOW(),"yyyy-mm-dd")&amp;"', "&amp;$E$1&amp;", "&amp;$G$1&amp;", '"&amp;VLOOKUP(E93,Index!B:C,2,FALSE)&amp;" ' );",""),"")</f>
        <v/>
      </c>
    </row>
    <row r="94" spans="1:18" x14ac:dyDescent="0.25">
      <c r="A94">
        <v>10738</v>
      </c>
      <c r="B94" t="s">
        <v>511</v>
      </c>
      <c r="C94" t="s">
        <v>275</v>
      </c>
      <c r="D94" t="s">
        <v>411</v>
      </c>
      <c r="E94" t="s">
        <v>246</v>
      </c>
      <c r="F94">
        <v>182</v>
      </c>
      <c r="H94" s="2">
        <f>COUNTIF(K:K,A94)</f>
        <v>1</v>
      </c>
      <c r="I94" s="2">
        <f t="shared" si="1"/>
        <v>0</v>
      </c>
      <c r="K94">
        <v>10648</v>
      </c>
      <c r="L94" t="s">
        <v>512</v>
      </c>
      <c r="M94" t="s">
        <v>282</v>
      </c>
      <c r="N94">
        <v>12</v>
      </c>
      <c r="O94" t="s">
        <v>246</v>
      </c>
      <c r="P94">
        <v>672</v>
      </c>
      <c r="R94" t="str">
        <f ca="1">IFERROR(IF(VLOOKUP(K94,A:F,6,FALSE)&lt;&gt;P94,"INSERT INTO playerTPEHistory ( playerID, playerTPE, historyDate, historySeason, historyWeek, historyLeague ) VALUES ("&amp;K94&amp;", "&amp;F94&amp;", '"&amp;TEXT(NOW(),"yyyy-mm-dd")&amp;"', "&amp;$E$1&amp;", "&amp;$G$1&amp;", '"&amp;VLOOKUP(E94,Index!B:C,2,FALSE)&amp;" ' );",""),"")</f>
        <v>INSERT INTO playerTPEHistory ( playerID, playerTPE, historyDate, historySeason, historyWeek, historyLeague ) VALUES (10648, 182, '2019-04-01', 14, 4, 'NSFL ' );</v>
      </c>
    </row>
    <row r="95" spans="1:18" x14ac:dyDescent="0.25">
      <c r="A95">
        <v>10648</v>
      </c>
      <c r="B95" t="s">
        <v>512</v>
      </c>
      <c r="C95" t="s">
        <v>282</v>
      </c>
      <c r="D95" t="s">
        <v>411</v>
      </c>
      <c r="E95" t="s">
        <v>246</v>
      </c>
      <c r="F95">
        <v>679</v>
      </c>
      <c r="H95" s="2">
        <f>COUNTIF(K:K,A95)</f>
        <v>1</v>
      </c>
      <c r="I95" s="2">
        <f t="shared" si="1"/>
        <v>0</v>
      </c>
      <c r="K95">
        <v>10402</v>
      </c>
      <c r="L95" t="s">
        <v>513</v>
      </c>
      <c r="M95" t="s">
        <v>282</v>
      </c>
      <c r="N95">
        <v>11</v>
      </c>
      <c r="O95" t="s">
        <v>246</v>
      </c>
      <c r="P95">
        <v>177</v>
      </c>
      <c r="R95" t="str">
        <f ca="1">IFERROR(IF(VLOOKUP(K95,A:F,6,FALSE)&lt;&gt;P95,"INSERT INTO playerTPEHistory ( playerID, playerTPE, historyDate, historySeason, historyWeek, historyLeague ) VALUES ("&amp;K95&amp;", "&amp;F95&amp;", '"&amp;TEXT(NOW(),"yyyy-mm-dd")&amp;"', "&amp;$E$1&amp;", "&amp;$G$1&amp;", '"&amp;VLOOKUP(E95,Index!B:C,2,FALSE)&amp;" ' );",""),"")</f>
        <v/>
      </c>
    </row>
    <row r="96" spans="1:18" x14ac:dyDescent="0.25">
      <c r="A96">
        <v>10402</v>
      </c>
      <c r="B96" t="s">
        <v>513</v>
      </c>
      <c r="C96" t="s">
        <v>282</v>
      </c>
      <c r="D96" t="s">
        <v>418</v>
      </c>
      <c r="E96" t="s">
        <v>246</v>
      </c>
      <c r="F96">
        <v>177</v>
      </c>
      <c r="H96" s="2">
        <f>COUNTIF(K:K,A96)</f>
        <v>1</v>
      </c>
      <c r="I96" s="2">
        <f t="shared" si="1"/>
        <v>0</v>
      </c>
      <c r="K96">
        <v>10136</v>
      </c>
      <c r="L96" t="s">
        <v>514</v>
      </c>
      <c r="M96" t="s">
        <v>278</v>
      </c>
      <c r="N96">
        <v>11</v>
      </c>
      <c r="O96" t="s">
        <v>246</v>
      </c>
      <c r="P96">
        <v>271</v>
      </c>
      <c r="R96" t="str">
        <f ca="1">IFERROR(IF(VLOOKUP(K96,A:F,6,FALSE)&lt;&gt;P96,"INSERT INTO playerTPEHistory ( playerID, playerTPE, historyDate, historySeason, historyWeek, historyLeague ) VALUES ("&amp;K96&amp;", "&amp;F96&amp;", '"&amp;TEXT(NOW(),"yyyy-mm-dd")&amp;"', "&amp;$E$1&amp;", "&amp;$G$1&amp;", '"&amp;VLOOKUP(E96,Index!B:C,2,FALSE)&amp;" ' );",""),"")</f>
        <v/>
      </c>
    </row>
    <row r="97" spans="1:18" x14ac:dyDescent="0.25">
      <c r="A97">
        <v>10136</v>
      </c>
      <c r="B97" t="s">
        <v>514</v>
      </c>
      <c r="C97" t="s">
        <v>278</v>
      </c>
      <c r="D97" t="s">
        <v>418</v>
      </c>
      <c r="E97" t="s">
        <v>246</v>
      </c>
      <c r="F97">
        <v>271</v>
      </c>
      <c r="H97" s="2">
        <f>COUNTIF(K:K,A97)</f>
        <v>1</v>
      </c>
      <c r="I97" s="2">
        <f t="shared" si="1"/>
        <v>0</v>
      </c>
      <c r="K97">
        <v>10092</v>
      </c>
      <c r="L97" t="s">
        <v>515</v>
      </c>
      <c r="M97" t="s">
        <v>276</v>
      </c>
      <c r="N97">
        <v>11</v>
      </c>
      <c r="O97" t="s">
        <v>246</v>
      </c>
      <c r="P97">
        <v>345</v>
      </c>
      <c r="R97" t="str">
        <f ca="1">IFERROR(IF(VLOOKUP(K97,A:F,6,FALSE)&lt;&gt;P97,"INSERT INTO playerTPEHistory ( playerID, playerTPE, historyDate, historySeason, historyWeek, historyLeague ) VALUES ("&amp;K97&amp;", "&amp;F97&amp;", '"&amp;TEXT(NOW(),"yyyy-mm-dd")&amp;"', "&amp;$E$1&amp;", "&amp;$G$1&amp;", '"&amp;VLOOKUP(E97,Index!B:C,2,FALSE)&amp;" ' );",""),"")</f>
        <v/>
      </c>
    </row>
    <row r="98" spans="1:18" x14ac:dyDescent="0.25">
      <c r="A98">
        <v>10092</v>
      </c>
      <c r="B98" t="s">
        <v>515</v>
      </c>
      <c r="C98" t="s">
        <v>276</v>
      </c>
      <c r="D98" t="s">
        <v>418</v>
      </c>
      <c r="E98" t="s">
        <v>246</v>
      </c>
      <c r="F98">
        <v>345</v>
      </c>
      <c r="H98" s="2">
        <f>COUNTIF(K:K,A98)</f>
        <v>1</v>
      </c>
      <c r="I98" s="2">
        <f t="shared" si="1"/>
        <v>0</v>
      </c>
      <c r="K98">
        <v>10061</v>
      </c>
      <c r="L98" t="s">
        <v>516</v>
      </c>
      <c r="M98" t="s">
        <v>281</v>
      </c>
      <c r="N98">
        <v>11</v>
      </c>
      <c r="O98" t="s">
        <v>246</v>
      </c>
      <c r="P98">
        <v>573</v>
      </c>
      <c r="R98" t="str">
        <f ca="1">IFERROR(IF(VLOOKUP(K98,A:F,6,FALSE)&lt;&gt;P98,"INSERT INTO playerTPEHistory ( playerID, playerTPE, historyDate, historySeason, historyWeek, historyLeague ) VALUES ("&amp;K98&amp;", "&amp;F98&amp;", '"&amp;TEXT(NOW(),"yyyy-mm-dd")&amp;"', "&amp;$E$1&amp;", "&amp;$G$1&amp;", '"&amp;VLOOKUP(E98,Index!B:C,2,FALSE)&amp;" ' );",""),"")</f>
        <v/>
      </c>
    </row>
    <row r="99" spans="1:18" x14ac:dyDescent="0.25">
      <c r="A99">
        <v>10061</v>
      </c>
      <c r="B99" t="s">
        <v>516</v>
      </c>
      <c r="C99" t="s">
        <v>281</v>
      </c>
      <c r="D99" t="s">
        <v>418</v>
      </c>
      <c r="E99" t="s">
        <v>246</v>
      </c>
      <c r="F99">
        <v>573</v>
      </c>
      <c r="H99" s="2">
        <f>COUNTIF(K:K,A99)</f>
        <v>1</v>
      </c>
      <c r="I99" s="2">
        <f t="shared" si="1"/>
        <v>0</v>
      </c>
      <c r="K99">
        <v>9830</v>
      </c>
      <c r="L99" t="s">
        <v>517</v>
      </c>
      <c r="M99" t="s">
        <v>280</v>
      </c>
      <c r="N99">
        <v>11</v>
      </c>
      <c r="O99" t="s">
        <v>246</v>
      </c>
      <c r="P99">
        <v>176</v>
      </c>
      <c r="R99" t="str">
        <f ca="1">IFERROR(IF(VLOOKUP(K99,A:F,6,FALSE)&lt;&gt;P99,"INSERT INTO playerTPEHistory ( playerID, playerTPE, historyDate, historySeason, historyWeek, historyLeague ) VALUES ("&amp;K99&amp;", "&amp;F99&amp;", '"&amp;TEXT(NOW(),"yyyy-mm-dd")&amp;"', "&amp;$E$1&amp;", "&amp;$G$1&amp;", '"&amp;VLOOKUP(E99,Index!B:C,2,FALSE)&amp;" ' );",""),"")</f>
        <v/>
      </c>
    </row>
    <row r="100" spans="1:18" x14ac:dyDescent="0.25">
      <c r="A100">
        <v>9830</v>
      </c>
      <c r="B100" t="s">
        <v>517</v>
      </c>
      <c r="C100" t="s">
        <v>280</v>
      </c>
      <c r="D100" t="s">
        <v>418</v>
      </c>
      <c r="E100" t="s">
        <v>246</v>
      </c>
      <c r="F100">
        <v>176</v>
      </c>
      <c r="H100" s="2">
        <f>COUNTIF(K:K,A100)</f>
        <v>1</v>
      </c>
      <c r="I100" s="2">
        <f t="shared" si="1"/>
        <v>0</v>
      </c>
      <c r="K100">
        <v>9833</v>
      </c>
      <c r="L100" t="s">
        <v>518</v>
      </c>
      <c r="M100" t="s">
        <v>277</v>
      </c>
      <c r="N100">
        <v>11</v>
      </c>
      <c r="O100" t="s">
        <v>246</v>
      </c>
      <c r="P100">
        <v>679</v>
      </c>
      <c r="R100" t="str">
        <f ca="1">IFERROR(IF(VLOOKUP(K100,A:F,6,FALSE)&lt;&gt;P100,"INSERT INTO playerTPEHistory ( playerID, playerTPE, historyDate, historySeason, historyWeek, historyLeague ) VALUES ("&amp;K100&amp;", "&amp;F100&amp;", '"&amp;TEXT(NOW(),"yyyy-mm-dd")&amp;"', "&amp;$E$1&amp;", "&amp;$G$1&amp;", '"&amp;VLOOKUP(E100,Index!B:C,2,FALSE)&amp;" ' );",""),"")</f>
        <v>INSERT INTO playerTPEHistory ( playerID, playerTPE, historyDate, historySeason, historyWeek, historyLeague ) VALUES (9833, 176, '2019-04-01', 14, 4, 'NSFL ' );</v>
      </c>
    </row>
    <row r="101" spans="1:18" x14ac:dyDescent="0.25">
      <c r="A101">
        <v>9833</v>
      </c>
      <c r="B101" t="s">
        <v>518</v>
      </c>
      <c r="C101" t="s">
        <v>277</v>
      </c>
      <c r="D101" t="s">
        <v>418</v>
      </c>
      <c r="E101" t="s">
        <v>246</v>
      </c>
      <c r="F101">
        <v>743</v>
      </c>
      <c r="H101" s="2">
        <f>COUNTIF(K:K,A101)</f>
        <v>1</v>
      </c>
      <c r="I101" s="2">
        <f t="shared" si="1"/>
        <v>0</v>
      </c>
      <c r="K101">
        <v>8030</v>
      </c>
      <c r="L101" t="s">
        <v>519</v>
      </c>
      <c r="M101" t="s">
        <v>278</v>
      </c>
      <c r="N101">
        <v>8</v>
      </c>
      <c r="O101" t="s">
        <v>246</v>
      </c>
      <c r="P101">
        <v>152</v>
      </c>
      <c r="R101" t="str">
        <f ca="1">IFERROR(IF(VLOOKUP(K101,A:F,6,FALSE)&lt;&gt;P101,"INSERT INTO playerTPEHistory ( playerID, playerTPE, historyDate, historySeason, historyWeek, historyLeague ) VALUES ("&amp;K101&amp;", "&amp;F101&amp;", '"&amp;TEXT(NOW(),"yyyy-mm-dd")&amp;"', "&amp;$E$1&amp;", "&amp;$G$1&amp;", '"&amp;VLOOKUP(E101,Index!B:C,2,FALSE)&amp;" ' );",""),"")</f>
        <v/>
      </c>
    </row>
    <row r="102" spans="1:18" x14ac:dyDescent="0.25">
      <c r="A102">
        <v>8030</v>
      </c>
      <c r="B102" t="s">
        <v>519</v>
      </c>
      <c r="C102" t="s">
        <v>278</v>
      </c>
      <c r="D102" t="s">
        <v>433</v>
      </c>
      <c r="E102" t="s">
        <v>246</v>
      </c>
      <c r="F102">
        <v>152</v>
      </c>
      <c r="H102" s="2">
        <f>COUNTIF(K:K,A102)</f>
        <v>1</v>
      </c>
      <c r="I102" s="2">
        <f t="shared" si="1"/>
        <v>0</v>
      </c>
      <c r="K102">
        <v>8034</v>
      </c>
      <c r="L102" t="s">
        <v>520</v>
      </c>
      <c r="M102" t="s">
        <v>281</v>
      </c>
      <c r="N102">
        <v>8</v>
      </c>
      <c r="O102" t="s">
        <v>246</v>
      </c>
      <c r="P102">
        <v>688</v>
      </c>
      <c r="R102" t="str">
        <f ca="1">IFERROR(IF(VLOOKUP(K102,A:F,6,FALSE)&lt;&gt;P102,"INSERT INTO playerTPEHistory ( playerID, playerTPE, historyDate, historySeason, historyWeek, historyLeague ) VALUES ("&amp;K102&amp;", "&amp;F102&amp;", '"&amp;TEXT(NOW(),"yyyy-mm-dd")&amp;"', "&amp;$E$1&amp;", "&amp;$G$1&amp;", '"&amp;VLOOKUP(E102,Index!B:C,2,FALSE)&amp;" ' );",""),"")</f>
        <v/>
      </c>
    </row>
    <row r="103" spans="1:18" x14ac:dyDescent="0.25">
      <c r="A103">
        <v>8034</v>
      </c>
      <c r="B103" t="s">
        <v>520</v>
      </c>
      <c r="C103" t="s">
        <v>281</v>
      </c>
      <c r="D103" t="s">
        <v>433</v>
      </c>
      <c r="E103" t="s">
        <v>246</v>
      </c>
      <c r="F103">
        <v>688</v>
      </c>
      <c r="H103" s="2">
        <f>COUNTIF(K:K,A103)</f>
        <v>1</v>
      </c>
      <c r="I103" s="2">
        <f t="shared" si="1"/>
        <v>0</v>
      </c>
      <c r="K103">
        <v>7874</v>
      </c>
      <c r="L103" t="s">
        <v>521</v>
      </c>
      <c r="M103" t="s">
        <v>278</v>
      </c>
      <c r="N103">
        <v>7</v>
      </c>
      <c r="O103" t="s">
        <v>246</v>
      </c>
      <c r="P103">
        <v>468</v>
      </c>
      <c r="R103" t="str">
        <f ca="1">IFERROR(IF(VLOOKUP(K103,A:F,6,FALSE)&lt;&gt;P103,"INSERT INTO playerTPEHistory ( playerID, playerTPE, historyDate, historySeason, historyWeek, historyLeague ) VALUES ("&amp;K103&amp;", "&amp;F103&amp;", '"&amp;TEXT(NOW(),"yyyy-mm-dd")&amp;"', "&amp;$E$1&amp;", "&amp;$G$1&amp;", '"&amp;VLOOKUP(E103,Index!B:C,2,FALSE)&amp;" ' );",""),"")</f>
        <v/>
      </c>
    </row>
    <row r="104" spans="1:18" x14ac:dyDescent="0.25">
      <c r="A104">
        <v>7874</v>
      </c>
      <c r="B104" t="s">
        <v>521</v>
      </c>
      <c r="C104" t="s">
        <v>278</v>
      </c>
      <c r="D104" t="s">
        <v>452</v>
      </c>
      <c r="E104" t="s">
        <v>246</v>
      </c>
      <c r="F104">
        <v>468</v>
      </c>
      <c r="H104" s="2">
        <f>COUNTIF(K:K,A104)</f>
        <v>1</v>
      </c>
      <c r="I104" s="2">
        <f t="shared" si="1"/>
        <v>0</v>
      </c>
      <c r="K104">
        <v>7424</v>
      </c>
      <c r="L104" t="s">
        <v>522</v>
      </c>
      <c r="M104" t="s">
        <v>283</v>
      </c>
      <c r="N104">
        <v>7</v>
      </c>
      <c r="O104" t="s">
        <v>246</v>
      </c>
      <c r="P104">
        <v>1183</v>
      </c>
      <c r="R104" t="str">
        <f ca="1">IFERROR(IF(VLOOKUP(K104,A:F,6,FALSE)&lt;&gt;P104,"INSERT INTO playerTPEHistory ( playerID, playerTPE, historyDate, historySeason, historyWeek, historyLeague ) VALUES ("&amp;K104&amp;", "&amp;F104&amp;", '"&amp;TEXT(NOW(),"yyyy-mm-dd")&amp;"', "&amp;$E$1&amp;", "&amp;$G$1&amp;", '"&amp;VLOOKUP(E104,Index!B:C,2,FALSE)&amp;" ' );",""),"")</f>
        <v>INSERT INTO playerTPEHistory ( playerID, playerTPE, historyDate, historySeason, historyWeek, historyLeague ) VALUES (7424, 468, '2019-04-01', 14, 4, 'NSFL ' );</v>
      </c>
    </row>
    <row r="105" spans="1:18" x14ac:dyDescent="0.25">
      <c r="A105">
        <v>7424</v>
      </c>
      <c r="B105" t="s">
        <v>522</v>
      </c>
      <c r="C105" t="s">
        <v>283</v>
      </c>
      <c r="D105" t="s">
        <v>452</v>
      </c>
      <c r="E105" t="s">
        <v>246</v>
      </c>
      <c r="F105">
        <v>1192</v>
      </c>
      <c r="H105" s="2">
        <f>COUNTIF(K:K,A105)</f>
        <v>1</v>
      </c>
      <c r="I105" s="2">
        <f t="shared" si="1"/>
        <v>0</v>
      </c>
      <c r="K105">
        <v>6578</v>
      </c>
      <c r="L105" t="s">
        <v>523</v>
      </c>
      <c r="M105" t="s">
        <v>274</v>
      </c>
      <c r="N105">
        <v>6</v>
      </c>
      <c r="O105" t="s">
        <v>246</v>
      </c>
      <c r="P105">
        <v>197</v>
      </c>
      <c r="R105" t="str">
        <f ca="1">IFERROR(IF(VLOOKUP(K105,A:F,6,FALSE)&lt;&gt;P105,"INSERT INTO playerTPEHistory ( playerID, playerTPE, historyDate, historySeason, historyWeek, historyLeague ) VALUES ("&amp;K105&amp;", "&amp;F105&amp;", '"&amp;TEXT(NOW(),"yyyy-mm-dd")&amp;"', "&amp;$E$1&amp;", "&amp;$G$1&amp;", '"&amp;VLOOKUP(E105,Index!B:C,2,FALSE)&amp;" ' );",""),"")</f>
        <v/>
      </c>
    </row>
    <row r="106" spans="1:18" x14ac:dyDescent="0.25">
      <c r="A106">
        <v>6578</v>
      </c>
      <c r="B106" t="s">
        <v>523</v>
      </c>
      <c r="C106" t="s">
        <v>274</v>
      </c>
      <c r="D106" t="s">
        <v>454</v>
      </c>
      <c r="E106" t="s">
        <v>246</v>
      </c>
      <c r="F106">
        <v>197</v>
      </c>
      <c r="H106" s="2">
        <f>COUNTIF(K:K,A106)</f>
        <v>1</v>
      </c>
      <c r="I106" s="2">
        <f t="shared" si="1"/>
        <v>0</v>
      </c>
      <c r="K106">
        <v>5347</v>
      </c>
      <c r="L106" t="s">
        <v>524</v>
      </c>
      <c r="M106" t="s">
        <v>275</v>
      </c>
      <c r="N106">
        <v>5</v>
      </c>
      <c r="O106" t="s">
        <v>246</v>
      </c>
      <c r="P106">
        <v>620</v>
      </c>
      <c r="R106" t="str">
        <f ca="1">IFERROR(IF(VLOOKUP(K106,A:F,6,FALSE)&lt;&gt;P106,"INSERT INTO playerTPEHistory ( playerID, playerTPE, historyDate, historySeason, historyWeek, historyLeague ) VALUES ("&amp;K106&amp;", "&amp;F106&amp;", '"&amp;TEXT(NOW(),"yyyy-mm-dd")&amp;"', "&amp;$E$1&amp;", "&amp;$G$1&amp;", '"&amp;VLOOKUP(E106,Index!B:C,2,FALSE)&amp;" ' );",""),"")</f>
        <v/>
      </c>
    </row>
    <row r="107" spans="1:18" x14ac:dyDescent="0.25">
      <c r="A107">
        <v>5347</v>
      </c>
      <c r="B107" t="s">
        <v>524</v>
      </c>
      <c r="C107" t="s">
        <v>275</v>
      </c>
      <c r="D107" t="s">
        <v>456</v>
      </c>
      <c r="E107" t="s">
        <v>246</v>
      </c>
      <c r="F107">
        <v>620</v>
      </c>
      <c r="H107" s="2">
        <f>COUNTIF(K:K,A107)</f>
        <v>1</v>
      </c>
      <c r="I107" s="2">
        <f t="shared" si="1"/>
        <v>0</v>
      </c>
      <c r="K107">
        <v>11739</v>
      </c>
      <c r="L107" t="s">
        <v>525</v>
      </c>
      <c r="M107" t="s">
        <v>279</v>
      </c>
      <c r="N107">
        <v>14</v>
      </c>
      <c r="O107" t="s">
        <v>247</v>
      </c>
      <c r="P107">
        <v>57</v>
      </c>
      <c r="R107" t="str">
        <f ca="1">IFERROR(IF(VLOOKUP(K107,A:F,6,FALSE)&lt;&gt;P107,"INSERT INTO playerTPEHistory ( playerID, playerTPE, historyDate, historySeason, historyWeek, historyLeague ) VALUES ("&amp;K107&amp;", "&amp;F107&amp;", '"&amp;TEXT(NOW(),"yyyy-mm-dd")&amp;"', "&amp;$E$1&amp;", "&amp;$G$1&amp;", '"&amp;VLOOKUP(E107,Index!B:C,2,FALSE)&amp;" ' );",""),"")</f>
        <v/>
      </c>
    </row>
    <row r="108" spans="1:18" x14ac:dyDescent="0.25">
      <c r="A108">
        <v>11739</v>
      </c>
      <c r="B108" t="s">
        <v>525</v>
      </c>
      <c r="C108" t="s">
        <v>279</v>
      </c>
      <c r="D108" t="s">
        <v>486</v>
      </c>
      <c r="E108" t="s">
        <v>247</v>
      </c>
      <c r="F108">
        <v>57</v>
      </c>
      <c r="H108" s="2">
        <f>COUNTIF(K:K,A108)</f>
        <v>1</v>
      </c>
      <c r="I108" s="2">
        <f t="shared" si="1"/>
        <v>0</v>
      </c>
      <c r="K108">
        <v>11074</v>
      </c>
      <c r="L108" t="s">
        <v>526</v>
      </c>
      <c r="M108" t="s">
        <v>277</v>
      </c>
      <c r="N108">
        <v>13</v>
      </c>
      <c r="O108" t="s">
        <v>247</v>
      </c>
      <c r="P108">
        <v>69</v>
      </c>
      <c r="R108" t="str">
        <f ca="1">IFERROR(IF(VLOOKUP(K108,A:F,6,FALSE)&lt;&gt;P108,"INSERT INTO playerTPEHistory ( playerID, playerTPE, historyDate, historySeason, historyWeek, historyLeague ) VALUES ("&amp;K108&amp;", "&amp;F108&amp;", '"&amp;TEXT(NOW(),"yyyy-mm-dd")&amp;"', "&amp;$E$1&amp;", "&amp;$G$1&amp;", '"&amp;VLOOKUP(E108,Index!B:C,2,FALSE)&amp;" ' );",""),"")</f>
        <v/>
      </c>
    </row>
    <row r="109" spans="1:18" x14ac:dyDescent="0.25">
      <c r="A109">
        <v>11074</v>
      </c>
      <c r="B109" t="s">
        <v>526</v>
      </c>
      <c r="C109" t="s">
        <v>277</v>
      </c>
      <c r="D109" t="s">
        <v>409</v>
      </c>
      <c r="E109" t="s">
        <v>247</v>
      </c>
      <c r="F109">
        <v>69</v>
      </c>
      <c r="H109" s="2">
        <f>COUNTIF(K:K,A109)</f>
        <v>1</v>
      </c>
      <c r="I109" s="2">
        <f t="shared" si="1"/>
        <v>0</v>
      </c>
      <c r="K109">
        <v>11043</v>
      </c>
      <c r="L109" t="s">
        <v>527</v>
      </c>
      <c r="M109" t="s">
        <v>278</v>
      </c>
      <c r="N109">
        <v>13</v>
      </c>
      <c r="O109" t="s">
        <v>247</v>
      </c>
      <c r="P109">
        <v>52</v>
      </c>
      <c r="R109" t="str">
        <f ca="1">IFERROR(IF(VLOOKUP(K109,A:F,6,FALSE)&lt;&gt;P109,"INSERT INTO playerTPEHistory ( playerID, playerTPE, historyDate, historySeason, historyWeek, historyLeague ) VALUES ("&amp;K109&amp;", "&amp;F109&amp;", '"&amp;TEXT(NOW(),"yyyy-mm-dd")&amp;"', "&amp;$E$1&amp;", "&amp;$G$1&amp;", '"&amp;VLOOKUP(E109,Index!B:C,2,FALSE)&amp;" ' );",""),"")</f>
        <v/>
      </c>
    </row>
    <row r="110" spans="1:18" x14ac:dyDescent="0.25">
      <c r="A110">
        <v>11043</v>
      </c>
      <c r="B110" t="s">
        <v>527</v>
      </c>
      <c r="C110" t="s">
        <v>278</v>
      </c>
      <c r="D110" t="s">
        <v>409</v>
      </c>
      <c r="E110" t="s">
        <v>247</v>
      </c>
      <c r="F110">
        <v>52</v>
      </c>
      <c r="H110" s="2">
        <f>COUNTIF(K:K,A110)</f>
        <v>1</v>
      </c>
      <c r="I110" s="2">
        <f t="shared" si="1"/>
        <v>0</v>
      </c>
      <c r="K110">
        <v>11030</v>
      </c>
      <c r="L110" t="s">
        <v>528</v>
      </c>
      <c r="M110" t="s">
        <v>277</v>
      </c>
      <c r="N110">
        <v>12</v>
      </c>
      <c r="O110" t="s">
        <v>247</v>
      </c>
      <c r="P110">
        <v>416</v>
      </c>
      <c r="R110" t="str">
        <f ca="1">IFERROR(IF(VLOOKUP(K110,A:F,6,FALSE)&lt;&gt;P110,"INSERT INTO playerTPEHistory ( playerID, playerTPE, historyDate, historySeason, historyWeek, historyLeague ) VALUES ("&amp;K110&amp;", "&amp;F110&amp;", '"&amp;TEXT(NOW(),"yyyy-mm-dd")&amp;"', "&amp;$E$1&amp;", "&amp;$G$1&amp;", '"&amp;VLOOKUP(E110,Index!B:C,2,FALSE)&amp;" ' );",""),"")</f>
        <v>INSERT INTO playerTPEHistory ( playerID, playerTPE, historyDate, historySeason, historyWeek, historyLeague ) VALUES (11030, 52, '2019-04-01', 14, 4, 'NSFL ' );</v>
      </c>
    </row>
    <row r="111" spans="1:18" x14ac:dyDescent="0.25">
      <c r="A111">
        <v>11030</v>
      </c>
      <c r="B111" t="s">
        <v>528</v>
      </c>
      <c r="C111" t="s">
        <v>277</v>
      </c>
      <c r="D111" t="s">
        <v>411</v>
      </c>
      <c r="E111" t="s">
        <v>247</v>
      </c>
      <c r="F111">
        <v>441</v>
      </c>
      <c r="H111" s="2">
        <f>COUNTIF(K:K,A111)</f>
        <v>1</v>
      </c>
      <c r="I111" s="2">
        <f t="shared" si="1"/>
        <v>0</v>
      </c>
      <c r="K111">
        <v>10917</v>
      </c>
      <c r="L111" t="s">
        <v>529</v>
      </c>
      <c r="M111" t="s">
        <v>276</v>
      </c>
      <c r="N111">
        <v>12</v>
      </c>
      <c r="O111" t="s">
        <v>247</v>
      </c>
      <c r="P111">
        <v>298</v>
      </c>
      <c r="R111" t="str">
        <f ca="1">IFERROR(IF(VLOOKUP(K111,A:F,6,FALSE)&lt;&gt;P111,"INSERT INTO playerTPEHistory ( playerID, playerTPE, historyDate, historySeason, historyWeek, historyLeague ) VALUES ("&amp;K111&amp;", "&amp;F111&amp;", '"&amp;TEXT(NOW(),"yyyy-mm-dd")&amp;"', "&amp;$E$1&amp;", "&amp;$G$1&amp;", '"&amp;VLOOKUP(E111,Index!B:C,2,FALSE)&amp;" ' );",""),"")</f>
        <v>INSERT INTO playerTPEHistory ( playerID, playerTPE, historyDate, historySeason, historyWeek, historyLeague ) VALUES (10917, 441, '2019-04-01', 14, 4, 'NSFL ' );</v>
      </c>
    </row>
    <row r="112" spans="1:18" x14ac:dyDescent="0.25">
      <c r="A112">
        <v>10917</v>
      </c>
      <c r="B112" t="s">
        <v>529</v>
      </c>
      <c r="C112" t="s">
        <v>276</v>
      </c>
      <c r="D112" t="s">
        <v>411</v>
      </c>
      <c r="E112" t="s">
        <v>247</v>
      </c>
      <c r="F112">
        <v>305</v>
      </c>
      <c r="H112" s="2">
        <f>COUNTIF(K:K,A112)</f>
        <v>1</v>
      </c>
      <c r="I112" s="2">
        <f t="shared" si="1"/>
        <v>0</v>
      </c>
      <c r="K112">
        <v>10765</v>
      </c>
      <c r="L112" t="s">
        <v>530</v>
      </c>
      <c r="M112" t="s">
        <v>278</v>
      </c>
      <c r="N112">
        <v>12</v>
      </c>
      <c r="O112" t="s">
        <v>247</v>
      </c>
      <c r="P112">
        <v>99</v>
      </c>
      <c r="R112" t="str">
        <f ca="1">IFERROR(IF(VLOOKUP(K112,A:F,6,FALSE)&lt;&gt;P112,"INSERT INTO playerTPEHistory ( playerID, playerTPE, historyDate, historySeason, historyWeek, historyLeague ) VALUES ("&amp;K112&amp;", "&amp;F112&amp;", '"&amp;TEXT(NOW(),"yyyy-mm-dd")&amp;"', "&amp;$E$1&amp;", "&amp;$G$1&amp;", '"&amp;VLOOKUP(E112,Index!B:C,2,FALSE)&amp;" ' );",""),"")</f>
        <v/>
      </c>
    </row>
    <row r="113" spans="1:18" x14ac:dyDescent="0.25">
      <c r="A113">
        <v>10765</v>
      </c>
      <c r="B113" t="s">
        <v>530</v>
      </c>
      <c r="C113" t="s">
        <v>278</v>
      </c>
      <c r="D113" t="s">
        <v>411</v>
      </c>
      <c r="E113" t="s">
        <v>247</v>
      </c>
      <c r="F113">
        <v>99</v>
      </c>
      <c r="H113" s="2">
        <f>COUNTIF(K:K,A113)</f>
        <v>1</v>
      </c>
      <c r="I113" s="2">
        <f t="shared" si="1"/>
        <v>0</v>
      </c>
      <c r="K113">
        <v>10668</v>
      </c>
      <c r="L113" t="s">
        <v>531</v>
      </c>
      <c r="M113" t="s">
        <v>276</v>
      </c>
      <c r="N113">
        <v>12</v>
      </c>
      <c r="O113" t="s">
        <v>247</v>
      </c>
      <c r="P113">
        <v>240</v>
      </c>
      <c r="R113" t="str">
        <f ca="1">IFERROR(IF(VLOOKUP(K113,A:F,6,FALSE)&lt;&gt;P113,"INSERT INTO playerTPEHistory ( playerID, playerTPE, historyDate, historySeason, historyWeek, historyLeague ) VALUES ("&amp;K113&amp;", "&amp;F113&amp;", '"&amp;TEXT(NOW(),"yyyy-mm-dd")&amp;"', "&amp;$E$1&amp;", "&amp;$G$1&amp;", '"&amp;VLOOKUP(E113,Index!B:C,2,FALSE)&amp;" ' );",""),"")</f>
        <v>INSERT INTO playerTPEHistory ( playerID, playerTPE, historyDate, historySeason, historyWeek, historyLeague ) VALUES (10668, 99, '2019-04-01', 14, 4, 'NSFL ' );</v>
      </c>
    </row>
    <row r="114" spans="1:18" x14ac:dyDescent="0.25">
      <c r="A114">
        <v>10668</v>
      </c>
      <c r="B114" t="s">
        <v>531</v>
      </c>
      <c r="C114" t="s">
        <v>276</v>
      </c>
      <c r="D114" t="s">
        <v>411</v>
      </c>
      <c r="E114" t="s">
        <v>247</v>
      </c>
      <c r="F114">
        <v>250</v>
      </c>
      <c r="H114" s="2">
        <f>COUNTIF(K:K,A114)</f>
        <v>1</v>
      </c>
      <c r="I114" s="2">
        <f t="shared" si="1"/>
        <v>0</v>
      </c>
      <c r="K114">
        <v>10466</v>
      </c>
      <c r="L114" t="s">
        <v>532</v>
      </c>
      <c r="M114" t="s">
        <v>281</v>
      </c>
      <c r="N114">
        <v>12</v>
      </c>
      <c r="O114" t="s">
        <v>247</v>
      </c>
      <c r="P114">
        <v>396</v>
      </c>
      <c r="R114" t="str">
        <f ca="1">IFERROR(IF(VLOOKUP(K114,A:F,6,FALSE)&lt;&gt;P114,"INSERT INTO playerTPEHistory ( playerID, playerTPE, historyDate, historySeason, historyWeek, historyLeague ) VALUES ("&amp;K114&amp;", "&amp;F114&amp;", '"&amp;TEXT(NOW(),"yyyy-mm-dd")&amp;"', "&amp;$E$1&amp;", "&amp;$G$1&amp;", '"&amp;VLOOKUP(E114,Index!B:C,2,FALSE)&amp;" ' );",""),"")</f>
        <v/>
      </c>
    </row>
    <row r="115" spans="1:18" x14ac:dyDescent="0.25">
      <c r="A115">
        <v>10466</v>
      </c>
      <c r="B115" t="s">
        <v>532</v>
      </c>
      <c r="C115" t="s">
        <v>281</v>
      </c>
      <c r="D115" t="s">
        <v>411</v>
      </c>
      <c r="E115" t="s">
        <v>247</v>
      </c>
      <c r="F115">
        <v>396</v>
      </c>
      <c r="H115" s="2">
        <f>COUNTIF(K:K,A115)</f>
        <v>1</v>
      </c>
      <c r="I115" s="2">
        <f t="shared" si="1"/>
        <v>0</v>
      </c>
      <c r="K115">
        <v>10234</v>
      </c>
      <c r="L115" t="s">
        <v>533</v>
      </c>
      <c r="M115" t="s">
        <v>282</v>
      </c>
      <c r="N115">
        <v>11</v>
      </c>
      <c r="O115" t="s">
        <v>247</v>
      </c>
      <c r="P115">
        <v>460</v>
      </c>
      <c r="R115" t="str">
        <f ca="1">IFERROR(IF(VLOOKUP(K115,A:F,6,FALSE)&lt;&gt;P115,"INSERT INTO playerTPEHistory ( playerID, playerTPE, historyDate, historySeason, historyWeek, historyLeague ) VALUES ("&amp;K115&amp;", "&amp;F115&amp;", '"&amp;TEXT(NOW(),"yyyy-mm-dd")&amp;"', "&amp;$E$1&amp;", "&amp;$G$1&amp;", '"&amp;VLOOKUP(E115,Index!B:C,2,FALSE)&amp;" ' );",""),"")</f>
        <v/>
      </c>
    </row>
    <row r="116" spans="1:18" x14ac:dyDescent="0.25">
      <c r="A116">
        <v>10234</v>
      </c>
      <c r="B116" t="s">
        <v>533</v>
      </c>
      <c r="C116" t="s">
        <v>282</v>
      </c>
      <c r="D116" t="s">
        <v>418</v>
      </c>
      <c r="E116" t="s">
        <v>247</v>
      </c>
      <c r="F116">
        <v>460</v>
      </c>
      <c r="H116" s="2">
        <f>COUNTIF(K:K,A116)</f>
        <v>1</v>
      </c>
      <c r="I116" s="2">
        <f t="shared" si="1"/>
        <v>0</v>
      </c>
      <c r="K116">
        <v>10118</v>
      </c>
      <c r="L116" t="s">
        <v>534</v>
      </c>
      <c r="M116" t="s">
        <v>281</v>
      </c>
      <c r="N116">
        <v>11</v>
      </c>
      <c r="O116" t="s">
        <v>247</v>
      </c>
      <c r="P116">
        <v>172</v>
      </c>
      <c r="R116" t="str">
        <f ca="1">IFERROR(IF(VLOOKUP(K116,A:F,6,FALSE)&lt;&gt;P116,"INSERT INTO playerTPEHistory ( playerID, playerTPE, historyDate, historySeason, historyWeek, historyLeague ) VALUES ("&amp;K116&amp;", "&amp;F116&amp;", '"&amp;TEXT(NOW(),"yyyy-mm-dd")&amp;"', "&amp;$E$1&amp;", "&amp;$G$1&amp;", '"&amp;VLOOKUP(E116,Index!B:C,2,FALSE)&amp;" ' );",""),"")</f>
        <v/>
      </c>
    </row>
    <row r="117" spans="1:18" x14ac:dyDescent="0.25">
      <c r="A117">
        <v>10118</v>
      </c>
      <c r="B117" t="s">
        <v>534</v>
      </c>
      <c r="C117" t="s">
        <v>281</v>
      </c>
      <c r="D117" t="s">
        <v>418</v>
      </c>
      <c r="E117" t="s">
        <v>247</v>
      </c>
      <c r="F117">
        <v>172</v>
      </c>
      <c r="H117" s="2">
        <f>COUNTIF(K:K,A117)</f>
        <v>1</v>
      </c>
      <c r="I117" s="2">
        <f t="shared" si="1"/>
        <v>0</v>
      </c>
      <c r="K117">
        <v>10062</v>
      </c>
      <c r="L117" t="s">
        <v>535</v>
      </c>
      <c r="M117" t="s">
        <v>280</v>
      </c>
      <c r="N117">
        <v>11</v>
      </c>
      <c r="O117" t="s">
        <v>247</v>
      </c>
      <c r="P117">
        <v>316</v>
      </c>
      <c r="R117" t="str">
        <f ca="1">IFERROR(IF(VLOOKUP(K117,A:F,6,FALSE)&lt;&gt;P117,"INSERT INTO playerTPEHistory ( playerID, playerTPE, historyDate, historySeason, historyWeek, historyLeague ) VALUES ("&amp;K117&amp;", "&amp;F117&amp;", '"&amp;TEXT(NOW(),"yyyy-mm-dd")&amp;"', "&amp;$E$1&amp;", "&amp;$G$1&amp;", '"&amp;VLOOKUP(E117,Index!B:C,2,FALSE)&amp;" ' );",""),"")</f>
        <v/>
      </c>
    </row>
    <row r="118" spans="1:18" x14ac:dyDescent="0.25">
      <c r="A118">
        <v>10062</v>
      </c>
      <c r="B118" t="s">
        <v>535</v>
      </c>
      <c r="C118" t="s">
        <v>280</v>
      </c>
      <c r="D118" t="s">
        <v>418</v>
      </c>
      <c r="E118" t="s">
        <v>247</v>
      </c>
      <c r="F118">
        <v>316</v>
      </c>
      <c r="H118" s="2">
        <f>COUNTIF(K:K,A118)</f>
        <v>1</v>
      </c>
      <c r="I118" s="2">
        <f t="shared" si="1"/>
        <v>0</v>
      </c>
      <c r="K118">
        <v>9986</v>
      </c>
      <c r="L118" t="s">
        <v>536</v>
      </c>
      <c r="M118" t="s">
        <v>283</v>
      </c>
      <c r="N118">
        <v>11</v>
      </c>
      <c r="O118" t="s">
        <v>247</v>
      </c>
      <c r="P118">
        <v>778</v>
      </c>
      <c r="R118" t="str">
        <f ca="1">IFERROR(IF(VLOOKUP(K118,A:F,6,FALSE)&lt;&gt;P118,"INSERT INTO playerTPEHistory ( playerID, playerTPE, historyDate, historySeason, historyWeek, historyLeague ) VALUES ("&amp;K118&amp;", "&amp;F118&amp;", '"&amp;TEXT(NOW(),"yyyy-mm-dd")&amp;"', "&amp;$E$1&amp;", "&amp;$G$1&amp;", '"&amp;VLOOKUP(E118,Index!B:C,2,FALSE)&amp;" ' );",""),"")</f>
        <v>INSERT INTO playerTPEHistory ( playerID, playerTPE, historyDate, historySeason, historyWeek, historyLeague ) VALUES (9986, 316, '2019-04-01', 14, 4, 'NSFL ' );</v>
      </c>
    </row>
    <row r="119" spans="1:18" x14ac:dyDescent="0.25">
      <c r="A119">
        <v>9986</v>
      </c>
      <c r="B119" t="s">
        <v>536</v>
      </c>
      <c r="C119" t="s">
        <v>283</v>
      </c>
      <c r="D119" t="s">
        <v>418</v>
      </c>
      <c r="E119" t="s">
        <v>247</v>
      </c>
      <c r="F119">
        <v>789</v>
      </c>
      <c r="H119" s="2">
        <f>COUNTIF(K:K,A119)</f>
        <v>1</v>
      </c>
      <c r="I119" s="2">
        <f t="shared" si="1"/>
        <v>0</v>
      </c>
      <c r="K119">
        <v>9815</v>
      </c>
      <c r="L119" t="s">
        <v>537</v>
      </c>
      <c r="M119" t="s">
        <v>277</v>
      </c>
      <c r="N119">
        <v>10</v>
      </c>
      <c r="O119" t="s">
        <v>247</v>
      </c>
      <c r="P119">
        <v>249</v>
      </c>
      <c r="R119" t="str">
        <f ca="1">IFERROR(IF(VLOOKUP(K119,A:F,6,FALSE)&lt;&gt;P119,"INSERT INTO playerTPEHistory ( playerID, playerTPE, historyDate, historySeason, historyWeek, historyLeague ) VALUES ("&amp;K119&amp;", "&amp;F119&amp;", '"&amp;TEXT(NOW(),"yyyy-mm-dd")&amp;"', "&amp;$E$1&amp;", "&amp;$G$1&amp;", '"&amp;VLOOKUP(E119,Index!B:C,2,FALSE)&amp;" ' );",""),"")</f>
        <v/>
      </c>
    </row>
    <row r="120" spans="1:18" x14ac:dyDescent="0.25">
      <c r="A120">
        <v>9815</v>
      </c>
      <c r="B120" t="s">
        <v>537</v>
      </c>
      <c r="C120" t="s">
        <v>277</v>
      </c>
      <c r="D120" t="s">
        <v>423</v>
      </c>
      <c r="E120" t="s">
        <v>247</v>
      </c>
      <c r="F120">
        <v>249</v>
      </c>
      <c r="H120" s="2">
        <f>COUNTIF(K:K,A120)</f>
        <v>1</v>
      </c>
      <c r="I120" s="2">
        <f t="shared" si="1"/>
        <v>0</v>
      </c>
      <c r="K120">
        <v>9469</v>
      </c>
      <c r="L120" t="s">
        <v>538</v>
      </c>
      <c r="M120" t="s">
        <v>280</v>
      </c>
      <c r="N120">
        <v>10</v>
      </c>
      <c r="O120" t="s">
        <v>247</v>
      </c>
      <c r="P120">
        <v>153</v>
      </c>
      <c r="R120" t="str">
        <f ca="1">IFERROR(IF(VLOOKUP(K120,A:F,6,FALSE)&lt;&gt;P120,"INSERT INTO playerTPEHistory ( playerID, playerTPE, historyDate, historySeason, historyWeek, historyLeague ) VALUES ("&amp;K120&amp;", "&amp;F120&amp;", '"&amp;TEXT(NOW(),"yyyy-mm-dd")&amp;"', "&amp;$E$1&amp;", "&amp;$G$1&amp;", '"&amp;VLOOKUP(E120,Index!B:C,2,FALSE)&amp;" ' );",""),"")</f>
        <v/>
      </c>
    </row>
    <row r="121" spans="1:18" x14ac:dyDescent="0.25">
      <c r="A121">
        <v>9469</v>
      </c>
      <c r="B121" t="s">
        <v>538</v>
      </c>
      <c r="C121" t="s">
        <v>280</v>
      </c>
      <c r="D121" t="s">
        <v>423</v>
      </c>
      <c r="E121" t="s">
        <v>247</v>
      </c>
      <c r="F121">
        <v>153</v>
      </c>
      <c r="H121" s="2">
        <f>COUNTIF(K:K,A121)</f>
        <v>1</v>
      </c>
      <c r="I121" s="2">
        <f t="shared" si="1"/>
        <v>0</v>
      </c>
      <c r="K121">
        <v>9416</v>
      </c>
      <c r="L121" t="s">
        <v>539</v>
      </c>
      <c r="M121" t="s">
        <v>278</v>
      </c>
      <c r="N121">
        <v>10</v>
      </c>
      <c r="O121" t="s">
        <v>247</v>
      </c>
      <c r="P121">
        <v>187</v>
      </c>
      <c r="R121" t="str">
        <f ca="1">IFERROR(IF(VLOOKUP(K121,A:F,6,FALSE)&lt;&gt;P121,"INSERT INTO playerTPEHistory ( playerID, playerTPE, historyDate, historySeason, historyWeek, historyLeague ) VALUES ("&amp;K121&amp;", "&amp;F121&amp;", '"&amp;TEXT(NOW(),"yyyy-mm-dd")&amp;"', "&amp;$E$1&amp;", "&amp;$G$1&amp;", '"&amp;VLOOKUP(E121,Index!B:C,2,FALSE)&amp;" ' );",""),"")</f>
        <v/>
      </c>
    </row>
    <row r="122" spans="1:18" x14ac:dyDescent="0.25">
      <c r="A122">
        <v>9416</v>
      </c>
      <c r="B122" t="s">
        <v>539</v>
      </c>
      <c r="C122" t="s">
        <v>278</v>
      </c>
      <c r="D122" t="s">
        <v>423</v>
      </c>
      <c r="E122" t="s">
        <v>247</v>
      </c>
      <c r="F122">
        <v>187</v>
      </c>
      <c r="H122" s="2">
        <f>COUNTIF(K:K,A122)</f>
        <v>1</v>
      </c>
      <c r="I122" s="2">
        <f t="shared" si="1"/>
        <v>0</v>
      </c>
      <c r="K122">
        <v>9349</v>
      </c>
      <c r="L122" t="s">
        <v>540</v>
      </c>
      <c r="M122" t="s">
        <v>275</v>
      </c>
      <c r="N122">
        <v>10</v>
      </c>
      <c r="O122" t="s">
        <v>247</v>
      </c>
      <c r="P122">
        <v>334</v>
      </c>
      <c r="R122" t="str">
        <f ca="1">IFERROR(IF(VLOOKUP(K122,A:F,6,FALSE)&lt;&gt;P122,"INSERT INTO playerTPEHistory ( playerID, playerTPE, historyDate, historySeason, historyWeek, historyLeague ) VALUES ("&amp;K122&amp;", "&amp;F122&amp;", '"&amp;TEXT(NOW(),"yyyy-mm-dd")&amp;"', "&amp;$E$1&amp;", "&amp;$G$1&amp;", '"&amp;VLOOKUP(E122,Index!B:C,2,FALSE)&amp;" ' );",""),"")</f>
        <v/>
      </c>
    </row>
    <row r="123" spans="1:18" x14ac:dyDescent="0.25">
      <c r="A123">
        <v>9349</v>
      </c>
      <c r="B123" t="s">
        <v>540</v>
      </c>
      <c r="C123" t="s">
        <v>275</v>
      </c>
      <c r="D123" t="s">
        <v>423</v>
      </c>
      <c r="E123" t="s">
        <v>247</v>
      </c>
      <c r="F123">
        <v>334</v>
      </c>
      <c r="H123" s="2">
        <f>COUNTIF(K:K,A123)</f>
        <v>1</v>
      </c>
      <c r="I123" s="2">
        <f t="shared" si="1"/>
        <v>0</v>
      </c>
      <c r="K123">
        <v>9243</v>
      </c>
      <c r="L123" t="s">
        <v>541</v>
      </c>
      <c r="M123" t="s">
        <v>281</v>
      </c>
      <c r="N123">
        <v>10</v>
      </c>
      <c r="O123" t="s">
        <v>247</v>
      </c>
      <c r="P123">
        <v>338</v>
      </c>
      <c r="R123" t="str">
        <f ca="1">IFERROR(IF(VLOOKUP(K123,A:F,6,FALSE)&lt;&gt;P123,"INSERT INTO playerTPEHistory ( playerID, playerTPE, historyDate, historySeason, historyWeek, historyLeague ) VALUES ("&amp;K123&amp;", "&amp;F123&amp;", '"&amp;TEXT(NOW(),"yyyy-mm-dd")&amp;"', "&amp;$E$1&amp;", "&amp;$G$1&amp;", '"&amp;VLOOKUP(E123,Index!B:C,2,FALSE)&amp;" ' );",""),"")</f>
        <v/>
      </c>
    </row>
    <row r="124" spans="1:18" x14ac:dyDescent="0.25">
      <c r="A124">
        <v>9243</v>
      </c>
      <c r="B124" t="s">
        <v>541</v>
      </c>
      <c r="C124" t="s">
        <v>281</v>
      </c>
      <c r="D124" t="s">
        <v>423</v>
      </c>
      <c r="E124" t="s">
        <v>247</v>
      </c>
      <c r="F124">
        <v>338</v>
      </c>
      <c r="H124" s="2">
        <f>COUNTIF(K:K,A124)</f>
        <v>1</v>
      </c>
      <c r="I124" s="2">
        <f t="shared" si="1"/>
        <v>0</v>
      </c>
      <c r="K124">
        <v>9117</v>
      </c>
      <c r="L124" t="s">
        <v>542</v>
      </c>
      <c r="M124" t="s">
        <v>275</v>
      </c>
      <c r="N124">
        <v>9</v>
      </c>
      <c r="O124" t="s">
        <v>247</v>
      </c>
      <c r="P124">
        <v>57</v>
      </c>
      <c r="R124" t="str">
        <f ca="1">IFERROR(IF(VLOOKUP(K124,A:F,6,FALSE)&lt;&gt;P124,"INSERT INTO playerTPEHistory ( playerID, playerTPE, historyDate, historySeason, historyWeek, historyLeague ) VALUES ("&amp;K124&amp;", "&amp;F124&amp;", '"&amp;TEXT(NOW(),"yyyy-mm-dd")&amp;"', "&amp;$E$1&amp;", "&amp;$G$1&amp;", '"&amp;VLOOKUP(E124,Index!B:C,2,FALSE)&amp;" ' );",""),"")</f>
        <v/>
      </c>
    </row>
    <row r="125" spans="1:18" x14ac:dyDescent="0.25">
      <c r="A125">
        <v>9117</v>
      </c>
      <c r="B125" t="s">
        <v>542</v>
      </c>
      <c r="C125" t="s">
        <v>275</v>
      </c>
      <c r="D125" t="s">
        <v>429</v>
      </c>
      <c r="E125" t="s">
        <v>247</v>
      </c>
      <c r="F125">
        <v>57</v>
      </c>
      <c r="H125" s="2">
        <f>COUNTIF(K:K,A125)</f>
        <v>1</v>
      </c>
      <c r="I125" s="2">
        <f t="shared" si="1"/>
        <v>0</v>
      </c>
      <c r="K125">
        <v>8796</v>
      </c>
      <c r="L125" t="s">
        <v>543</v>
      </c>
      <c r="M125" t="s">
        <v>277</v>
      </c>
      <c r="N125">
        <v>9</v>
      </c>
      <c r="O125" t="s">
        <v>247</v>
      </c>
      <c r="P125">
        <v>86</v>
      </c>
      <c r="R125" t="str">
        <f ca="1">IFERROR(IF(VLOOKUP(K125,A:F,6,FALSE)&lt;&gt;P125,"INSERT INTO playerTPEHistory ( playerID, playerTPE, historyDate, historySeason, historyWeek, historyLeague ) VALUES ("&amp;K125&amp;", "&amp;F125&amp;", '"&amp;TEXT(NOW(),"yyyy-mm-dd")&amp;"', "&amp;$E$1&amp;", "&amp;$G$1&amp;", '"&amp;VLOOKUP(E125,Index!B:C,2,FALSE)&amp;" ' );",""),"")</f>
        <v/>
      </c>
    </row>
    <row r="126" spans="1:18" x14ac:dyDescent="0.25">
      <c r="A126">
        <v>8796</v>
      </c>
      <c r="B126" t="s">
        <v>543</v>
      </c>
      <c r="C126" t="s">
        <v>277</v>
      </c>
      <c r="D126" t="s">
        <v>429</v>
      </c>
      <c r="E126" t="s">
        <v>247</v>
      </c>
      <c r="F126">
        <v>86</v>
      </c>
      <c r="H126" s="2">
        <f>COUNTIF(K:K,A126)</f>
        <v>1</v>
      </c>
      <c r="I126" s="2">
        <f t="shared" si="1"/>
        <v>0</v>
      </c>
      <c r="K126">
        <v>8627</v>
      </c>
      <c r="L126" t="s">
        <v>544</v>
      </c>
      <c r="M126" t="s">
        <v>281</v>
      </c>
      <c r="N126">
        <v>9</v>
      </c>
      <c r="O126" t="s">
        <v>247</v>
      </c>
      <c r="P126">
        <v>76</v>
      </c>
      <c r="R126" t="str">
        <f ca="1">IFERROR(IF(VLOOKUP(K126,A:F,6,FALSE)&lt;&gt;P126,"INSERT INTO playerTPEHistory ( playerID, playerTPE, historyDate, historySeason, historyWeek, historyLeague ) VALUES ("&amp;K126&amp;", "&amp;F126&amp;", '"&amp;TEXT(NOW(),"yyyy-mm-dd")&amp;"', "&amp;$E$1&amp;", "&amp;$G$1&amp;", '"&amp;VLOOKUP(E126,Index!B:C,2,FALSE)&amp;" ' );",""),"")</f>
        <v/>
      </c>
    </row>
    <row r="127" spans="1:18" x14ac:dyDescent="0.25">
      <c r="A127">
        <v>8627</v>
      </c>
      <c r="B127" t="s">
        <v>544</v>
      </c>
      <c r="C127" t="s">
        <v>281</v>
      </c>
      <c r="D127" t="s">
        <v>429</v>
      </c>
      <c r="E127" t="s">
        <v>247</v>
      </c>
      <c r="F127">
        <v>76</v>
      </c>
      <c r="H127" s="2">
        <f>COUNTIF(K:K,A127)</f>
        <v>1</v>
      </c>
      <c r="I127" s="2">
        <f t="shared" si="1"/>
        <v>0</v>
      </c>
      <c r="K127">
        <v>8209</v>
      </c>
      <c r="L127" t="s">
        <v>545</v>
      </c>
      <c r="M127" t="s">
        <v>276</v>
      </c>
      <c r="N127">
        <v>8</v>
      </c>
      <c r="O127" t="s">
        <v>247</v>
      </c>
      <c r="P127">
        <v>73</v>
      </c>
      <c r="R127" t="str">
        <f ca="1">IFERROR(IF(VLOOKUP(K127,A:F,6,FALSE)&lt;&gt;P127,"INSERT INTO playerTPEHistory ( playerID, playerTPE, historyDate, historySeason, historyWeek, historyLeague ) VALUES ("&amp;K127&amp;", "&amp;F127&amp;", '"&amp;TEXT(NOW(),"yyyy-mm-dd")&amp;"', "&amp;$E$1&amp;", "&amp;$G$1&amp;", '"&amp;VLOOKUP(E127,Index!B:C,2,FALSE)&amp;" ' );",""),"")</f>
        <v/>
      </c>
    </row>
    <row r="128" spans="1:18" x14ac:dyDescent="0.25">
      <c r="A128">
        <v>8209</v>
      </c>
      <c r="B128" t="s">
        <v>545</v>
      </c>
      <c r="C128" t="s">
        <v>276</v>
      </c>
      <c r="D128" t="s">
        <v>433</v>
      </c>
      <c r="E128" t="s">
        <v>247</v>
      </c>
      <c r="F128">
        <v>73</v>
      </c>
      <c r="H128" s="2">
        <f>COUNTIF(K:K,A128)</f>
        <v>1</v>
      </c>
      <c r="I128" s="2">
        <f t="shared" si="1"/>
        <v>0</v>
      </c>
      <c r="K128">
        <v>8230</v>
      </c>
      <c r="L128" t="s">
        <v>546</v>
      </c>
      <c r="M128" t="s">
        <v>278</v>
      </c>
      <c r="N128">
        <v>8</v>
      </c>
      <c r="O128" t="s">
        <v>247</v>
      </c>
      <c r="P128">
        <v>67</v>
      </c>
      <c r="R128" t="str">
        <f ca="1">IFERROR(IF(VLOOKUP(K128,A:F,6,FALSE)&lt;&gt;P128,"INSERT INTO playerTPEHistory ( playerID, playerTPE, historyDate, historySeason, historyWeek, historyLeague ) VALUES ("&amp;K128&amp;", "&amp;F128&amp;", '"&amp;TEXT(NOW(),"yyyy-mm-dd")&amp;"', "&amp;$E$1&amp;", "&amp;$G$1&amp;", '"&amp;VLOOKUP(E128,Index!B:C,2,FALSE)&amp;" ' );",""),"")</f>
        <v/>
      </c>
    </row>
    <row r="129" spans="1:18" x14ac:dyDescent="0.25">
      <c r="A129">
        <v>8230</v>
      </c>
      <c r="B129" t="s">
        <v>546</v>
      </c>
      <c r="C129" t="s">
        <v>278</v>
      </c>
      <c r="D129" t="s">
        <v>433</v>
      </c>
      <c r="E129" t="s">
        <v>247</v>
      </c>
      <c r="F129">
        <v>67</v>
      </c>
      <c r="H129" s="2">
        <f>COUNTIF(K:K,A129)</f>
        <v>1</v>
      </c>
      <c r="I129" s="2">
        <f t="shared" si="1"/>
        <v>0</v>
      </c>
      <c r="K129">
        <v>6978</v>
      </c>
      <c r="L129" t="s">
        <v>547</v>
      </c>
      <c r="M129" t="s">
        <v>282</v>
      </c>
      <c r="N129">
        <v>6</v>
      </c>
      <c r="O129" t="s">
        <v>247</v>
      </c>
      <c r="P129">
        <v>150</v>
      </c>
      <c r="R129" t="str">
        <f ca="1">IFERROR(IF(VLOOKUP(K129,A:F,6,FALSE)&lt;&gt;P129,"INSERT INTO playerTPEHistory ( playerID, playerTPE, historyDate, historySeason, historyWeek, historyLeague ) VALUES ("&amp;K129&amp;", "&amp;F129&amp;", '"&amp;TEXT(NOW(),"yyyy-mm-dd")&amp;"', "&amp;$E$1&amp;", "&amp;$G$1&amp;", '"&amp;VLOOKUP(E129,Index!B:C,2,FALSE)&amp;" ' );",""),"")</f>
        <v/>
      </c>
    </row>
    <row r="130" spans="1:18" x14ac:dyDescent="0.25">
      <c r="A130">
        <v>6978</v>
      </c>
      <c r="B130" t="s">
        <v>547</v>
      </c>
      <c r="C130" t="s">
        <v>282</v>
      </c>
      <c r="D130" t="s">
        <v>454</v>
      </c>
      <c r="E130" t="s">
        <v>247</v>
      </c>
      <c r="F130">
        <v>150</v>
      </c>
      <c r="H130" s="2">
        <f>COUNTIF(K:K,A130)</f>
        <v>1</v>
      </c>
      <c r="I130" s="2">
        <f t="shared" si="1"/>
        <v>0</v>
      </c>
      <c r="K130">
        <v>6214</v>
      </c>
      <c r="L130" t="s">
        <v>548</v>
      </c>
      <c r="M130" t="s">
        <v>278</v>
      </c>
      <c r="N130">
        <v>6</v>
      </c>
      <c r="O130" t="s">
        <v>247</v>
      </c>
      <c r="P130">
        <v>201</v>
      </c>
      <c r="R130" t="str">
        <f ca="1">IFERROR(IF(VLOOKUP(K130,A:F,6,FALSE)&lt;&gt;P130,"INSERT INTO playerTPEHistory ( playerID, playerTPE, historyDate, historySeason, historyWeek, historyLeague ) VALUES ("&amp;K130&amp;", "&amp;F130&amp;", '"&amp;TEXT(NOW(),"yyyy-mm-dd")&amp;"', "&amp;$E$1&amp;", "&amp;$G$1&amp;", '"&amp;VLOOKUP(E130,Index!B:C,2,FALSE)&amp;" ' );",""),"")</f>
        <v/>
      </c>
    </row>
    <row r="131" spans="1:18" x14ac:dyDescent="0.25">
      <c r="A131">
        <v>6214</v>
      </c>
      <c r="B131" t="s">
        <v>548</v>
      </c>
      <c r="C131" t="s">
        <v>278</v>
      </c>
      <c r="D131" t="s">
        <v>454</v>
      </c>
      <c r="E131" t="s">
        <v>247</v>
      </c>
      <c r="F131">
        <v>201</v>
      </c>
      <c r="H131" s="2">
        <f>COUNTIF(K:K,A131)</f>
        <v>1</v>
      </c>
      <c r="I131" s="2">
        <f t="shared" ref="I131:I194" si="2">IF(COUNTIF(A:A,K131)=0,1,0)</f>
        <v>0</v>
      </c>
      <c r="K131">
        <v>5481</v>
      </c>
      <c r="L131" t="s">
        <v>549</v>
      </c>
      <c r="M131" t="s">
        <v>274</v>
      </c>
      <c r="N131">
        <v>5</v>
      </c>
      <c r="O131" t="s">
        <v>247</v>
      </c>
      <c r="P131">
        <v>686</v>
      </c>
      <c r="R131" t="str">
        <f ca="1">IFERROR(IF(VLOOKUP(K131,A:F,6,FALSE)&lt;&gt;P131,"INSERT INTO playerTPEHistory ( playerID, playerTPE, historyDate, historySeason, historyWeek, historyLeague ) VALUES ("&amp;K131&amp;", "&amp;F131&amp;", '"&amp;TEXT(NOW(),"yyyy-mm-dd")&amp;"', "&amp;$E$1&amp;", "&amp;$G$1&amp;", '"&amp;VLOOKUP(E131,Index!B:C,2,FALSE)&amp;" ' );",""),"")</f>
        <v/>
      </c>
    </row>
    <row r="132" spans="1:18" x14ac:dyDescent="0.25">
      <c r="A132">
        <v>5481</v>
      </c>
      <c r="B132" t="s">
        <v>549</v>
      </c>
      <c r="C132" t="s">
        <v>274</v>
      </c>
      <c r="D132" t="s">
        <v>456</v>
      </c>
      <c r="E132" t="s">
        <v>247</v>
      </c>
      <c r="F132">
        <v>686</v>
      </c>
      <c r="H132" s="2">
        <f>COUNTIF(K:K,A132)</f>
        <v>1</v>
      </c>
      <c r="I132" s="2">
        <f t="shared" si="2"/>
        <v>0</v>
      </c>
      <c r="K132">
        <v>2894</v>
      </c>
      <c r="L132" t="s">
        <v>550</v>
      </c>
      <c r="M132" t="s">
        <v>281</v>
      </c>
      <c r="N132">
        <v>3</v>
      </c>
      <c r="O132" t="s">
        <v>247</v>
      </c>
      <c r="P132">
        <v>243</v>
      </c>
      <c r="R132" t="str">
        <f ca="1">IFERROR(IF(VLOOKUP(K132,A:F,6,FALSE)&lt;&gt;P132,"INSERT INTO playerTPEHistory ( playerID, playerTPE, historyDate, historySeason, historyWeek, historyLeague ) VALUES ("&amp;K132&amp;", "&amp;F132&amp;", '"&amp;TEXT(NOW(),"yyyy-mm-dd")&amp;"', "&amp;$E$1&amp;", "&amp;$G$1&amp;", '"&amp;VLOOKUP(E132,Index!B:C,2,FALSE)&amp;" ' );",""),"")</f>
        <v/>
      </c>
    </row>
    <row r="133" spans="1:18" x14ac:dyDescent="0.25">
      <c r="A133">
        <v>2894</v>
      </c>
      <c r="B133" t="s">
        <v>550</v>
      </c>
      <c r="C133" t="s">
        <v>281</v>
      </c>
      <c r="D133" t="s">
        <v>551</v>
      </c>
      <c r="E133" t="s">
        <v>247</v>
      </c>
      <c r="F133">
        <v>243</v>
      </c>
      <c r="H133" s="2">
        <f>COUNTIF(K:K,A133)</f>
        <v>1</v>
      </c>
      <c r="I133" s="2">
        <f t="shared" si="2"/>
        <v>0</v>
      </c>
      <c r="K133">
        <v>11721</v>
      </c>
      <c r="L133" t="s">
        <v>552</v>
      </c>
      <c r="M133" t="s">
        <v>280</v>
      </c>
      <c r="N133">
        <v>14</v>
      </c>
      <c r="O133" t="s">
        <v>248</v>
      </c>
      <c r="P133">
        <v>208</v>
      </c>
      <c r="R133" t="str">
        <f ca="1">IFERROR(IF(VLOOKUP(K133,A:F,6,FALSE)&lt;&gt;P133,"INSERT INTO playerTPEHistory ( playerID, playerTPE, historyDate, historySeason, historyWeek, historyLeague ) VALUES ("&amp;K133&amp;", "&amp;F133&amp;", '"&amp;TEXT(NOW(),"yyyy-mm-dd")&amp;"', "&amp;$E$1&amp;", "&amp;$G$1&amp;", '"&amp;VLOOKUP(E133,Index!B:C,2,FALSE)&amp;" ' );",""),"")</f>
        <v>INSERT INTO playerTPEHistory ( playerID, playerTPE, historyDate, historySeason, historyWeek, historyLeague ) VALUES (11721, 243, '2019-04-01', 14, 4, 'NSFL ' );</v>
      </c>
    </row>
    <row r="134" spans="1:18" x14ac:dyDescent="0.25">
      <c r="A134">
        <v>11721</v>
      </c>
      <c r="B134" t="s">
        <v>552</v>
      </c>
      <c r="C134" t="s">
        <v>280</v>
      </c>
      <c r="D134" t="s">
        <v>486</v>
      </c>
      <c r="E134" t="s">
        <v>248</v>
      </c>
      <c r="F134">
        <v>219</v>
      </c>
      <c r="H134" s="2">
        <f>COUNTIF(K:K,A134)</f>
        <v>1</v>
      </c>
      <c r="I134" s="2">
        <f t="shared" si="2"/>
        <v>0</v>
      </c>
      <c r="K134">
        <v>11230</v>
      </c>
      <c r="L134" t="s">
        <v>553</v>
      </c>
      <c r="M134" t="s">
        <v>282</v>
      </c>
      <c r="N134">
        <v>13</v>
      </c>
      <c r="O134" t="s">
        <v>248</v>
      </c>
      <c r="P134">
        <v>469</v>
      </c>
      <c r="R134" t="str">
        <f ca="1">IFERROR(IF(VLOOKUP(K134,A:F,6,FALSE)&lt;&gt;P134,"INSERT INTO playerTPEHistory ( playerID, playerTPE, historyDate, historySeason, historyWeek, historyLeague ) VALUES ("&amp;K134&amp;", "&amp;F134&amp;", '"&amp;TEXT(NOW(),"yyyy-mm-dd")&amp;"', "&amp;$E$1&amp;", "&amp;$G$1&amp;", '"&amp;VLOOKUP(E134,Index!B:C,2,FALSE)&amp;" ' );",""),"")</f>
        <v>INSERT INTO playerTPEHistory ( playerID, playerTPE, historyDate, historySeason, historyWeek, historyLeague ) VALUES (11230, 219, '2019-04-01', 14, 4, 'NSFL ' );</v>
      </c>
    </row>
    <row r="135" spans="1:18" x14ac:dyDescent="0.25">
      <c r="A135">
        <v>11230</v>
      </c>
      <c r="B135" t="s">
        <v>553</v>
      </c>
      <c r="C135" t="s">
        <v>282</v>
      </c>
      <c r="D135" t="s">
        <v>409</v>
      </c>
      <c r="E135" t="s">
        <v>248</v>
      </c>
      <c r="F135">
        <v>476</v>
      </c>
      <c r="H135" s="2">
        <f>COUNTIF(K:K,A135)</f>
        <v>1</v>
      </c>
      <c r="I135" s="2">
        <f t="shared" si="2"/>
        <v>0</v>
      </c>
      <c r="K135">
        <v>11077</v>
      </c>
      <c r="L135" t="s">
        <v>554</v>
      </c>
      <c r="M135" t="s">
        <v>278</v>
      </c>
      <c r="N135">
        <v>13</v>
      </c>
      <c r="O135" t="s">
        <v>248</v>
      </c>
      <c r="P135">
        <v>398</v>
      </c>
      <c r="R135" t="str">
        <f ca="1">IFERROR(IF(VLOOKUP(K135,A:F,6,FALSE)&lt;&gt;P135,"INSERT INTO playerTPEHistory ( playerID, playerTPE, historyDate, historySeason, historyWeek, historyLeague ) VALUES ("&amp;K135&amp;", "&amp;F135&amp;", '"&amp;TEXT(NOW(),"yyyy-mm-dd")&amp;"', "&amp;$E$1&amp;", "&amp;$G$1&amp;", '"&amp;VLOOKUP(E135,Index!B:C,2,FALSE)&amp;" ' );",""),"")</f>
        <v>INSERT INTO playerTPEHistory ( playerID, playerTPE, historyDate, historySeason, historyWeek, historyLeague ) VALUES (11077, 476, '2019-04-01', 14, 4, 'NSFL ' );</v>
      </c>
    </row>
    <row r="136" spans="1:18" x14ac:dyDescent="0.25">
      <c r="A136">
        <v>11077</v>
      </c>
      <c r="B136" t="s">
        <v>554</v>
      </c>
      <c r="C136" t="s">
        <v>278</v>
      </c>
      <c r="D136" t="s">
        <v>409</v>
      </c>
      <c r="E136" t="s">
        <v>248</v>
      </c>
      <c r="F136">
        <v>415</v>
      </c>
      <c r="H136" s="2">
        <f>COUNTIF(K:K,A136)</f>
        <v>1</v>
      </c>
      <c r="I136" s="2">
        <f t="shared" si="2"/>
        <v>0</v>
      </c>
      <c r="K136">
        <v>11032</v>
      </c>
      <c r="L136" t="s">
        <v>555</v>
      </c>
      <c r="M136" t="s">
        <v>278</v>
      </c>
      <c r="N136">
        <v>12</v>
      </c>
      <c r="O136" t="s">
        <v>248</v>
      </c>
      <c r="P136">
        <v>135</v>
      </c>
      <c r="R136" t="str">
        <f ca="1">IFERROR(IF(VLOOKUP(K136,A:F,6,FALSE)&lt;&gt;P136,"INSERT INTO playerTPEHistory ( playerID, playerTPE, historyDate, historySeason, historyWeek, historyLeague ) VALUES ("&amp;K136&amp;", "&amp;F136&amp;", '"&amp;TEXT(NOW(),"yyyy-mm-dd")&amp;"', "&amp;$E$1&amp;", "&amp;$G$1&amp;", '"&amp;VLOOKUP(E136,Index!B:C,2,FALSE)&amp;" ' );",""),"")</f>
        <v/>
      </c>
    </row>
    <row r="137" spans="1:18" x14ac:dyDescent="0.25">
      <c r="A137">
        <v>11032</v>
      </c>
      <c r="B137" t="s">
        <v>555</v>
      </c>
      <c r="C137" t="s">
        <v>278</v>
      </c>
      <c r="D137" t="s">
        <v>411</v>
      </c>
      <c r="E137" t="s">
        <v>248</v>
      </c>
      <c r="F137">
        <v>135</v>
      </c>
      <c r="H137" s="2">
        <f>COUNTIF(K:K,A137)</f>
        <v>1</v>
      </c>
      <c r="I137" s="2">
        <f t="shared" si="2"/>
        <v>0</v>
      </c>
      <c r="K137">
        <v>10941</v>
      </c>
      <c r="L137" t="s">
        <v>556</v>
      </c>
      <c r="M137" t="s">
        <v>281</v>
      </c>
      <c r="N137">
        <v>12</v>
      </c>
      <c r="O137" t="s">
        <v>248</v>
      </c>
      <c r="P137">
        <v>167</v>
      </c>
      <c r="R137" t="str">
        <f ca="1">IFERROR(IF(VLOOKUP(K137,A:F,6,FALSE)&lt;&gt;P137,"INSERT INTO playerTPEHistory ( playerID, playerTPE, historyDate, historySeason, historyWeek, historyLeague ) VALUES ("&amp;K137&amp;", "&amp;F137&amp;", '"&amp;TEXT(NOW(),"yyyy-mm-dd")&amp;"', "&amp;$E$1&amp;", "&amp;$G$1&amp;", '"&amp;VLOOKUP(E137,Index!B:C,2,FALSE)&amp;" ' );",""),"")</f>
        <v/>
      </c>
    </row>
    <row r="138" spans="1:18" x14ac:dyDescent="0.25">
      <c r="A138">
        <v>10941</v>
      </c>
      <c r="B138" t="s">
        <v>556</v>
      </c>
      <c r="C138" t="s">
        <v>281</v>
      </c>
      <c r="D138" t="s">
        <v>411</v>
      </c>
      <c r="E138" t="s">
        <v>248</v>
      </c>
      <c r="F138">
        <v>167</v>
      </c>
      <c r="H138" s="2">
        <f>COUNTIF(K:K,A138)</f>
        <v>1</v>
      </c>
      <c r="I138" s="2">
        <f t="shared" si="2"/>
        <v>0</v>
      </c>
      <c r="K138">
        <v>10541</v>
      </c>
      <c r="L138" t="s">
        <v>557</v>
      </c>
      <c r="M138" t="s">
        <v>278</v>
      </c>
      <c r="N138">
        <v>12</v>
      </c>
      <c r="O138" t="s">
        <v>248</v>
      </c>
      <c r="P138">
        <v>442</v>
      </c>
      <c r="R138" t="str">
        <f ca="1">IFERROR(IF(VLOOKUP(K138,A:F,6,FALSE)&lt;&gt;P138,"INSERT INTO playerTPEHistory ( playerID, playerTPE, historyDate, historySeason, historyWeek, historyLeague ) VALUES ("&amp;K138&amp;", "&amp;F138&amp;", '"&amp;TEXT(NOW(),"yyyy-mm-dd")&amp;"', "&amp;$E$1&amp;", "&amp;$G$1&amp;", '"&amp;VLOOKUP(E138,Index!B:C,2,FALSE)&amp;" ' );",""),"")</f>
        <v>INSERT INTO playerTPEHistory ( playerID, playerTPE, historyDate, historySeason, historyWeek, historyLeague ) VALUES (10541, 167, '2019-04-01', 14, 4, 'NSFL ' );</v>
      </c>
    </row>
    <row r="139" spans="1:18" x14ac:dyDescent="0.25">
      <c r="A139">
        <v>10541</v>
      </c>
      <c r="B139" t="s">
        <v>557</v>
      </c>
      <c r="C139" t="s">
        <v>278</v>
      </c>
      <c r="D139" t="s">
        <v>411</v>
      </c>
      <c r="E139" t="s">
        <v>248</v>
      </c>
      <c r="F139">
        <v>457</v>
      </c>
      <c r="H139" s="2">
        <f>COUNTIF(K:K,A139)</f>
        <v>1</v>
      </c>
      <c r="I139" s="2">
        <f t="shared" si="2"/>
        <v>0</v>
      </c>
      <c r="K139">
        <v>10476</v>
      </c>
      <c r="L139" t="s">
        <v>558</v>
      </c>
      <c r="M139" t="s">
        <v>282</v>
      </c>
      <c r="N139">
        <v>12</v>
      </c>
      <c r="O139" t="s">
        <v>248</v>
      </c>
      <c r="P139">
        <v>412</v>
      </c>
      <c r="R139" t="str">
        <f ca="1">IFERROR(IF(VLOOKUP(K139,A:F,6,FALSE)&lt;&gt;P139,"INSERT INTO playerTPEHistory ( playerID, playerTPE, historyDate, historySeason, historyWeek, historyLeague ) VALUES ("&amp;K139&amp;", "&amp;F139&amp;", '"&amp;TEXT(NOW(),"yyyy-mm-dd")&amp;"', "&amp;$E$1&amp;", "&amp;$G$1&amp;", '"&amp;VLOOKUP(E139,Index!B:C,2,FALSE)&amp;" ' );",""),"")</f>
        <v/>
      </c>
    </row>
    <row r="140" spans="1:18" x14ac:dyDescent="0.25">
      <c r="A140">
        <v>10476</v>
      </c>
      <c r="B140" t="s">
        <v>558</v>
      </c>
      <c r="C140" t="s">
        <v>282</v>
      </c>
      <c r="D140" t="s">
        <v>411</v>
      </c>
      <c r="E140" t="s">
        <v>248</v>
      </c>
      <c r="F140">
        <v>412</v>
      </c>
      <c r="H140" s="2">
        <f>COUNTIF(K:K,A140)</f>
        <v>1</v>
      </c>
      <c r="I140" s="2">
        <f t="shared" si="2"/>
        <v>0</v>
      </c>
      <c r="K140">
        <v>10133</v>
      </c>
      <c r="L140" t="s">
        <v>559</v>
      </c>
      <c r="M140" t="s">
        <v>276</v>
      </c>
      <c r="N140">
        <v>11</v>
      </c>
      <c r="O140" t="s">
        <v>248</v>
      </c>
      <c r="P140">
        <v>213</v>
      </c>
      <c r="R140" t="str">
        <f ca="1">IFERROR(IF(VLOOKUP(K140,A:F,6,FALSE)&lt;&gt;P140,"INSERT INTO playerTPEHistory ( playerID, playerTPE, historyDate, historySeason, historyWeek, historyLeague ) VALUES ("&amp;K140&amp;", "&amp;F140&amp;", '"&amp;TEXT(NOW(),"yyyy-mm-dd")&amp;"', "&amp;$E$1&amp;", "&amp;$G$1&amp;", '"&amp;VLOOKUP(E140,Index!B:C,2,FALSE)&amp;" ' );",""),"")</f>
        <v/>
      </c>
    </row>
    <row r="141" spans="1:18" x14ac:dyDescent="0.25">
      <c r="A141">
        <v>10133</v>
      </c>
      <c r="B141" t="s">
        <v>559</v>
      </c>
      <c r="C141" t="s">
        <v>276</v>
      </c>
      <c r="D141" t="s">
        <v>418</v>
      </c>
      <c r="E141" t="s">
        <v>248</v>
      </c>
      <c r="F141">
        <v>213</v>
      </c>
      <c r="H141" s="2">
        <f>COUNTIF(K:K,A141)</f>
        <v>1</v>
      </c>
      <c r="I141" s="2">
        <f t="shared" si="2"/>
        <v>0</v>
      </c>
      <c r="K141">
        <v>10048</v>
      </c>
      <c r="L141" t="s">
        <v>560</v>
      </c>
      <c r="M141" t="s">
        <v>278</v>
      </c>
      <c r="N141">
        <v>11</v>
      </c>
      <c r="O141" t="s">
        <v>248</v>
      </c>
      <c r="P141">
        <v>94</v>
      </c>
      <c r="R141" t="str">
        <f ca="1">IFERROR(IF(VLOOKUP(K141,A:F,6,FALSE)&lt;&gt;P141,"INSERT INTO playerTPEHistory ( playerID, playerTPE, historyDate, historySeason, historyWeek, historyLeague ) VALUES ("&amp;K141&amp;", "&amp;F141&amp;", '"&amp;TEXT(NOW(),"yyyy-mm-dd")&amp;"', "&amp;$E$1&amp;", "&amp;$G$1&amp;", '"&amp;VLOOKUP(E141,Index!B:C,2,FALSE)&amp;" ' );",""),"")</f>
        <v/>
      </c>
    </row>
    <row r="142" spans="1:18" x14ac:dyDescent="0.25">
      <c r="A142">
        <v>10048</v>
      </c>
      <c r="B142" t="s">
        <v>560</v>
      </c>
      <c r="C142" t="s">
        <v>278</v>
      </c>
      <c r="D142" t="s">
        <v>418</v>
      </c>
      <c r="E142" t="s">
        <v>248</v>
      </c>
      <c r="F142">
        <v>94</v>
      </c>
      <c r="H142" s="2">
        <f>COUNTIF(K:K,A142)</f>
        <v>1</v>
      </c>
      <c r="I142" s="2">
        <f t="shared" si="2"/>
        <v>0</v>
      </c>
      <c r="K142">
        <v>9846</v>
      </c>
      <c r="L142" t="s">
        <v>561</v>
      </c>
      <c r="M142" t="s">
        <v>281</v>
      </c>
      <c r="N142">
        <v>11</v>
      </c>
      <c r="O142" t="s">
        <v>248</v>
      </c>
      <c r="P142">
        <v>212</v>
      </c>
      <c r="R142" t="str">
        <f ca="1">IFERROR(IF(VLOOKUP(K142,A:F,6,FALSE)&lt;&gt;P142,"INSERT INTO playerTPEHistory ( playerID, playerTPE, historyDate, historySeason, historyWeek, historyLeague ) VALUES ("&amp;K142&amp;", "&amp;F142&amp;", '"&amp;TEXT(NOW(),"yyyy-mm-dd")&amp;"', "&amp;$E$1&amp;", "&amp;$G$1&amp;", '"&amp;VLOOKUP(E142,Index!B:C,2,FALSE)&amp;" ' );",""),"")</f>
        <v/>
      </c>
    </row>
    <row r="143" spans="1:18" x14ac:dyDescent="0.25">
      <c r="A143">
        <v>9846</v>
      </c>
      <c r="B143" t="s">
        <v>561</v>
      </c>
      <c r="C143" t="s">
        <v>281</v>
      </c>
      <c r="D143" t="s">
        <v>418</v>
      </c>
      <c r="E143" t="s">
        <v>248</v>
      </c>
      <c r="F143">
        <v>212</v>
      </c>
      <c r="H143" s="2">
        <f>COUNTIF(K:K,A143)</f>
        <v>1</v>
      </c>
      <c r="I143" s="2">
        <f t="shared" si="2"/>
        <v>0</v>
      </c>
      <c r="K143">
        <v>9453</v>
      </c>
      <c r="L143" t="s">
        <v>562</v>
      </c>
      <c r="M143" t="s">
        <v>278</v>
      </c>
      <c r="N143">
        <v>10</v>
      </c>
      <c r="O143" t="s">
        <v>248</v>
      </c>
      <c r="P143">
        <v>703</v>
      </c>
      <c r="R143" t="str">
        <f ca="1">IFERROR(IF(VLOOKUP(K143,A:F,6,FALSE)&lt;&gt;P143,"INSERT INTO playerTPEHistory ( playerID, playerTPE, historyDate, historySeason, historyWeek, historyLeague ) VALUES ("&amp;K143&amp;", "&amp;F143&amp;", '"&amp;TEXT(NOW(),"yyyy-mm-dd")&amp;"', "&amp;$E$1&amp;", "&amp;$G$1&amp;", '"&amp;VLOOKUP(E143,Index!B:C,2,FALSE)&amp;" ' );",""),"")</f>
        <v>INSERT INTO playerTPEHistory ( playerID, playerTPE, historyDate, historySeason, historyWeek, historyLeague ) VALUES (9453, 212, '2019-04-01', 14, 4, 'NSFL ' );</v>
      </c>
    </row>
    <row r="144" spans="1:18" x14ac:dyDescent="0.25">
      <c r="A144">
        <v>9453</v>
      </c>
      <c r="B144" t="s">
        <v>562</v>
      </c>
      <c r="C144" t="s">
        <v>278</v>
      </c>
      <c r="D144" t="s">
        <v>423</v>
      </c>
      <c r="E144" t="s">
        <v>248</v>
      </c>
      <c r="F144">
        <v>710</v>
      </c>
      <c r="H144" s="2">
        <f>COUNTIF(K:K,A144)</f>
        <v>1</v>
      </c>
      <c r="I144" s="2">
        <f t="shared" si="2"/>
        <v>0</v>
      </c>
      <c r="K144">
        <v>9461</v>
      </c>
      <c r="L144" t="s">
        <v>563</v>
      </c>
      <c r="M144" t="s">
        <v>275</v>
      </c>
      <c r="N144">
        <v>10</v>
      </c>
      <c r="O144" t="s">
        <v>248</v>
      </c>
      <c r="P144">
        <v>279</v>
      </c>
      <c r="R144" t="str">
        <f ca="1">IFERROR(IF(VLOOKUP(K144,A:F,6,FALSE)&lt;&gt;P144,"INSERT INTO playerTPEHistory ( playerID, playerTPE, historyDate, historySeason, historyWeek, historyLeague ) VALUES ("&amp;K144&amp;", "&amp;F144&amp;", '"&amp;TEXT(NOW(),"yyyy-mm-dd")&amp;"', "&amp;$E$1&amp;", "&amp;$G$1&amp;", '"&amp;VLOOKUP(E144,Index!B:C,2,FALSE)&amp;" ' );",""),"")</f>
        <v/>
      </c>
    </row>
    <row r="145" spans="1:18" x14ac:dyDescent="0.25">
      <c r="A145">
        <v>9461</v>
      </c>
      <c r="B145" t="s">
        <v>563</v>
      </c>
      <c r="C145" t="s">
        <v>275</v>
      </c>
      <c r="D145" t="s">
        <v>423</v>
      </c>
      <c r="E145" t="s">
        <v>248</v>
      </c>
      <c r="F145">
        <v>279</v>
      </c>
      <c r="H145" s="2">
        <f>COUNTIF(K:K,A145)</f>
        <v>1</v>
      </c>
      <c r="I145" s="2">
        <f t="shared" si="2"/>
        <v>0</v>
      </c>
      <c r="K145">
        <v>8932</v>
      </c>
      <c r="L145" t="s">
        <v>564</v>
      </c>
      <c r="M145" t="s">
        <v>277</v>
      </c>
      <c r="N145">
        <v>9</v>
      </c>
      <c r="O145" t="s">
        <v>248</v>
      </c>
      <c r="P145">
        <v>250</v>
      </c>
      <c r="R145" t="str">
        <f ca="1">IFERROR(IF(VLOOKUP(K145,A:F,6,FALSE)&lt;&gt;P145,"INSERT INTO playerTPEHistory ( playerID, playerTPE, historyDate, historySeason, historyWeek, historyLeague ) VALUES ("&amp;K145&amp;", "&amp;F145&amp;", '"&amp;TEXT(NOW(),"yyyy-mm-dd")&amp;"', "&amp;$E$1&amp;", "&amp;$G$1&amp;", '"&amp;VLOOKUP(E145,Index!B:C,2,FALSE)&amp;" ' );",""),"")</f>
        <v/>
      </c>
    </row>
    <row r="146" spans="1:18" x14ac:dyDescent="0.25">
      <c r="A146">
        <v>8932</v>
      </c>
      <c r="B146" t="s">
        <v>564</v>
      </c>
      <c r="C146" t="s">
        <v>277</v>
      </c>
      <c r="D146" t="s">
        <v>429</v>
      </c>
      <c r="E146" t="s">
        <v>248</v>
      </c>
      <c r="F146">
        <v>250</v>
      </c>
      <c r="H146" s="2">
        <f>COUNTIF(K:K,A146)</f>
        <v>1</v>
      </c>
      <c r="I146" s="2">
        <f t="shared" si="2"/>
        <v>0</v>
      </c>
      <c r="K146">
        <v>8797</v>
      </c>
      <c r="L146" t="s">
        <v>565</v>
      </c>
      <c r="M146" t="s">
        <v>277</v>
      </c>
      <c r="N146">
        <v>9</v>
      </c>
      <c r="O146" t="s">
        <v>248</v>
      </c>
      <c r="P146">
        <v>214</v>
      </c>
      <c r="R146" t="str">
        <f ca="1">IFERROR(IF(VLOOKUP(K146,A:F,6,FALSE)&lt;&gt;P146,"INSERT INTO playerTPEHistory ( playerID, playerTPE, historyDate, historySeason, historyWeek, historyLeague ) VALUES ("&amp;K146&amp;", "&amp;F146&amp;", '"&amp;TEXT(NOW(),"yyyy-mm-dd")&amp;"', "&amp;$E$1&amp;", "&amp;$G$1&amp;", '"&amp;VLOOKUP(E146,Index!B:C,2,FALSE)&amp;" ' );",""),"")</f>
        <v/>
      </c>
    </row>
    <row r="147" spans="1:18" x14ac:dyDescent="0.25">
      <c r="A147">
        <v>8797</v>
      </c>
      <c r="B147" t="s">
        <v>565</v>
      </c>
      <c r="C147" t="s">
        <v>277</v>
      </c>
      <c r="D147" t="s">
        <v>429</v>
      </c>
      <c r="E147" t="s">
        <v>248</v>
      </c>
      <c r="F147">
        <v>214</v>
      </c>
      <c r="H147" s="2">
        <f>COUNTIF(K:K,A147)</f>
        <v>1</v>
      </c>
      <c r="I147" s="2">
        <f t="shared" si="2"/>
        <v>0</v>
      </c>
      <c r="K147">
        <v>8626</v>
      </c>
      <c r="L147" t="s">
        <v>566</v>
      </c>
      <c r="M147" t="s">
        <v>276</v>
      </c>
      <c r="N147">
        <v>9</v>
      </c>
      <c r="O147" t="s">
        <v>248</v>
      </c>
      <c r="P147">
        <v>77</v>
      </c>
      <c r="R147" t="str">
        <f ca="1">IFERROR(IF(VLOOKUP(K147,A:F,6,FALSE)&lt;&gt;P147,"INSERT INTO playerTPEHistory ( playerID, playerTPE, historyDate, historySeason, historyWeek, historyLeague ) VALUES ("&amp;K147&amp;", "&amp;F147&amp;", '"&amp;TEXT(NOW(),"yyyy-mm-dd")&amp;"', "&amp;$E$1&amp;", "&amp;$G$1&amp;", '"&amp;VLOOKUP(E147,Index!B:C,2,FALSE)&amp;" ' );",""),"")</f>
        <v/>
      </c>
    </row>
    <row r="148" spans="1:18" x14ac:dyDescent="0.25">
      <c r="A148">
        <v>8626</v>
      </c>
      <c r="B148" t="s">
        <v>566</v>
      </c>
      <c r="C148" t="s">
        <v>276</v>
      </c>
      <c r="D148" t="s">
        <v>429</v>
      </c>
      <c r="E148" t="s">
        <v>248</v>
      </c>
      <c r="F148">
        <v>77</v>
      </c>
      <c r="H148" s="2">
        <f>COUNTIF(K:K,A148)</f>
        <v>1</v>
      </c>
      <c r="I148" s="2">
        <f t="shared" si="2"/>
        <v>0</v>
      </c>
      <c r="K148">
        <v>7941</v>
      </c>
      <c r="L148" t="s">
        <v>567</v>
      </c>
      <c r="M148" t="s">
        <v>274</v>
      </c>
      <c r="N148">
        <v>8</v>
      </c>
      <c r="O148" t="s">
        <v>248</v>
      </c>
      <c r="P148">
        <v>170</v>
      </c>
      <c r="R148" t="str">
        <f ca="1">IFERROR(IF(VLOOKUP(K148,A:F,6,FALSE)&lt;&gt;P148,"INSERT INTO playerTPEHistory ( playerID, playerTPE, historyDate, historySeason, historyWeek, historyLeague ) VALUES ("&amp;K148&amp;", "&amp;F148&amp;", '"&amp;TEXT(NOW(),"yyyy-mm-dd")&amp;"', "&amp;$E$1&amp;", "&amp;$G$1&amp;", '"&amp;VLOOKUP(E148,Index!B:C,2,FALSE)&amp;" ' );",""),"")</f>
        <v/>
      </c>
    </row>
    <row r="149" spans="1:18" x14ac:dyDescent="0.25">
      <c r="A149">
        <v>7941</v>
      </c>
      <c r="B149" t="s">
        <v>567</v>
      </c>
      <c r="C149" t="s">
        <v>274</v>
      </c>
      <c r="D149" t="s">
        <v>433</v>
      </c>
      <c r="E149" t="s">
        <v>248</v>
      </c>
      <c r="F149">
        <v>170</v>
      </c>
      <c r="H149" s="2">
        <f>COUNTIF(K:K,A149)</f>
        <v>1</v>
      </c>
      <c r="I149" s="2">
        <f t="shared" si="2"/>
        <v>0</v>
      </c>
      <c r="K149">
        <v>7904</v>
      </c>
      <c r="L149" t="s">
        <v>568</v>
      </c>
      <c r="M149" t="s">
        <v>275</v>
      </c>
      <c r="N149">
        <v>8</v>
      </c>
      <c r="O149" t="s">
        <v>248</v>
      </c>
      <c r="P149">
        <v>895</v>
      </c>
      <c r="R149" t="str">
        <f ca="1">IFERROR(IF(VLOOKUP(K149,A:F,6,FALSE)&lt;&gt;P149,"INSERT INTO playerTPEHistory ( playerID, playerTPE, historyDate, historySeason, historyWeek, historyLeague ) VALUES ("&amp;K149&amp;", "&amp;F149&amp;", '"&amp;TEXT(NOW(),"yyyy-mm-dd")&amp;"', "&amp;$E$1&amp;", "&amp;$G$1&amp;", '"&amp;VLOOKUP(E149,Index!B:C,2,FALSE)&amp;" ' );",""),"")</f>
        <v>INSERT INTO playerTPEHistory ( playerID, playerTPE, historyDate, historySeason, historyWeek, historyLeague ) VALUES (7904, 170, '2019-04-01', 14, 4, 'NSFL ' );</v>
      </c>
    </row>
    <row r="150" spans="1:18" x14ac:dyDescent="0.25">
      <c r="A150">
        <v>7904</v>
      </c>
      <c r="B150" t="s">
        <v>568</v>
      </c>
      <c r="C150" t="s">
        <v>275</v>
      </c>
      <c r="D150" t="s">
        <v>433</v>
      </c>
      <c r="E150" t="s">
        <v>248</v>
      </c>
      <c r="F150">
        <v>899</v>
      </c>
      <c r="H150" s="2">
        <f>COUNTIF(K:K,A150)</f>
        <v>1</v>
      </c>
      <c r="I150" s="2">
        <f t="shared" si="2"/>
        <v>0</v>
      </c>
      <c r="K150">
        <v>7650</v>
      </c>
      <c r="L150" t="s">
        <v>569</v>
      </c>
      <c r="M150" t="s">
        <v>281</v>
      </c>
      <c r="N150">
        <v>7</v>
      </c>
      <c r="O150" t="s">
        <v>248</v>
      </c>
      <c r="P150">
        <v>1178</v>
      </c>
      <c r="R150" t="str">
        <f ca="1">IFERROR(IF(VLOOKUP(K150,A:F,6,FALSE)&lt;&gt;P150,"INSERT INTO playerTPEHistory ( playerID, playerTPE, historyDate, historySeason, historyWeek, historyLeague ) VALUES ("&amp;K150&amp;", "&amp;F150&amp;", '"&amp;TEXT(NOW(),"yyyy-mm-dd")&amp;"', "&amp;$E$1&amp;", "&amp;$G$1&amp;", '"&amp;VLOOKUP(E150,Index!B:C,2,FALSE)&amp;" ' );",""),"")</f>
        <v>INSERT INTO playerTPEHistory ( playerID, playerTPE, historyDate, historySeason, historyWeek, historyLeague ) VALUES (7650, 899, '2019-04-01', 14, 4, 'NSFL ' );</v>
      </c>
    </row>
    <row r="151" spans="1:18" x14ac:dyDescent="0.25">
      <c r="A151">
        <v>7650</v>
      </c>
      <c r="B151" t="s">
        <v>569</v>
      </c>
      <c r="C151" t="s">
        <v>281</v>
      </c>
      <c r="D151" t="s">
        <v>452</v>
      </c>
      <c r="E151" t="s">
        <v>248</v>
      </c>
      <c r="F151">
        <v>1188</v>
      </c>
      <c r="H151" s="2">
        <f>COUNTIF(K:K,A151)</f>
        <v>1</v>
      </c>
      <c r="I151" s="2">
        <f t="shared" si="2"/>
        <v>0</v>
      </c>
      <c r="K151">
        <v>6596</v>
      </c>
      <c r="L151" t="s">
        <v>570</v>
      </c>
      <c r="M151" t="s">
        <v>283</v>
      </c>
      <c r="N151">
        <v>6</v>
      </c>
      <c r="O151" t="s">
        <v>248</v>
      </c>
      <c r="P151">
        <v>901</v>
      </c>
      <c r="R151" t="str">
        <f ca="1">IFERROR(IF(VLOOKUP(K151,A:F,6,FALSE)&lt;&gt;P151,"INSERT INTO playerTPEHistory ( playerID, playerTPE, historyDate, historySeason, historyWeek, historyLeague ) VALUES ("&amp;K151&amp;", "&amp;F151&amp;", '"&amp;TEXT(NOW(),"yyyy-mm-dd")&amp;"', "&amp;$E$1&amp;", "&amp;$G$1&amp;", '"&amp;VLOOKUP(E151,Index!B:C,2,FALSE)&amp;" ' );",""),"")</f>
        <v/>
      </c>
    </row>
    <row r="152" spans="1:18" x14ac:dyDescent="0.25">
      <c r="A152">
        <v>6596</v>
      </c>
      <c r="B152" t="s">
        <v>570</v>
      </c>
      <c r="C152" t="s">
        <v>283</v>
      </c>
      <c r="D152" t="s">
        <v>454</v>
      </c>
      <c r="E152" t="s">
        <v>248</v>
      </c>
      <c r="F152">
        <v>901</v>
      </c>
      <c r="H152" s="2">
        <f>COUNTIF(K:K,A152)</f>
        <v>1</v>
      </c>
      <c r="I152" s="2">
        <f t="shared" si="2"/>
        <v>0</v>
      </c>
      <c r="K152">
        <v>11463</v>
      </c>
      <c r="L152" t="s">
        <v>571</v>
      </c>
      <c r="M152" t="s">
        <v>280</v>
      </c>
      <c r="N152">
        <v>13</v>
      </c>
      <c r="O152" t="s">
        <v>249</v>
      </c>
      <c r="P152">
        <v>264</v>
      </c>
      <c r="R152" t="str">
        <f ca="1">IFERROR(IF(VLOOKUP(K152,A:F,6,FALSE)&lt;&gt;P152,"INSERT INTO playerTPEHistory ( playerID, playerTPE, historyDate, historySeason, historyWeek, historyLeague ) VALUES ("&amp;K152&amp;", "&amp;F152&amp;", '"&amp;TEXT(NOW(),"yyyy-mm-dd")&amp;"', "&amp;$E$1&amp;", "&amp;$G$1&amp;", '"&amp;VLOOKUP(E152,Index!B:C,2,FALSE)&amp;" ' );",""),"")</f>
        <v>INSERT INTO playerTPEHistory ( playerID, playerTPE, historyDate, historySeason, historyWeek, historyLeague ) VALUES (11463, 901, '2019-04-01', 14, 4, 'NSFL ' );</v>
      </c>
    </row>
    <row r="153" spans="1:18" x14ac:dyDescent="0.25">
      <c r="A153">
        <v>11463</v>
      </c>
      <c r="B153" t="s">
        <v>571</v>
      </c>
      <c r="C153" t="s">
        <v>280</v>
      </c>
      <c r="D153" t="s">
        <v>409</v>
      </c>
      <c r="E153" t="s">
        <v>249</v>
      </c>
      <c r="F153">
        <v>340</v>
      </c>
      <c r="H153" s="2">
        <f>COUNTIF(K:K,A153)</f>
        <v>1</v>
      </c>
      <c r="I153" s="2">
        <f t="shared" si="2"/>
        <v>0</v>
      </c>
      <c r="K153">
        <v>11206</v>
      </c>
      <c r="L153" t="s">
        <v>572</v>
      </c>
      <c r="M153" t="s">
        <v>277</v>
      </c>
      <c r="N153">
        <v>13</v>
      </c>
      <c r="O153" t="s">
        <v>249</v>
      </c>
      <c r="P153">
        <v>304</v>
      </c>
      <c r="R153" t="str">
        <f ca="1">IFERROR(IF(VLOOKUP(K153,A:F,6,FALSE)&lt;&gt;P153,"INSERT INTO playerTPEHistory ( playerID, playerTPE, historyDate, historySeason, historyWeek, historyLeague ) VALUES ("&amp;K153&amp;", "&amp;F153&amp;", '"&amp;TEXT(NOW(),"yyyy-mm-dd")&amp;"', "&amp;$E$1&amp;", "&amp;$G$1&amp;", '"&amp;VLOOKUP(E153,Index!B:C,2,FALSE)&amp;" ' );",""),"")</f>
        <v>INSERT INTO playerTPEHistory ( playerID, playerTPE, historyDate, historySeason, historyWeek, historyLeague ) VALUES (11206, 340, '2019-04-01', 14, 4, 'NSFL ' );</v>
      </c>
    </row>
    <row r="154" spans="1:18" x14ac:dyDescent="0.25">
      <c r="A154">
        <v>11206</v>
      </c>
      <c r="B154" t="s">
        <v>572</v>
      </c>
      <c r="C154" t="s">
        <v>277</v>
      </c>
      <c r="D154" t="s">
        <v>409</v>
      </c>
      <c r="E154" t="s">
        <v>249</v>
      </c>
      <c r="F154">
        <v>309</v>
      </c>
      <c r="H154" s="2">
        <f>COUNTIF(K:K,A154)</f>
        <v>1</v>
      </c>
      <c r="I154" s="2">
        <f t="shared" si="2"/>
        <v>0</v>
      </c>
      <c r="K154">
        <v>10982</v>
      </c>
      <c r="L154" t="s">
        <v>573</v>
      </c>
      <c r="M154" t="s">
        <v>278</v>
      </c>
      <c r="N154">
        <v>12</v>
      </c>
      <c r="O154" t="s">
        <v>249</v>
      </c>
      <c r="P154">
        <v>216</v>
      </c>
      <c r="R154" t="str">
        <f ca="1">IFERROR(IF(VLOOKUP(K154,A:F,6,FALSE)&lt;&gt;P154,"INSERT INTO playerTPEHistory ( playerID, playerTPE, historyDate, historySeason, historyWeek, historyLeague ) VALUES ("&amp;K154&amp;", "&amp;F154&amp;", '"&amp;TEXT(NOW(),"yyyy-mm-dd")&amp;"', "&amp;$E$1&amp;", "&amp;$G$1&amp;", '"&amp;VLOOKUP(E154,Index!B:C,2,FALSE)&amp;" ' );",""),"")</f>
        <v/>
      </c>
    </row>
    <row r="155" spans="1:18" x14ac:dyDescent="0.25">
      <c r="A155">
        <v>10982</v>
      </c>
      <c r="B155" t="s">
        <v>573</v>
      </c>
      <c r="C155" t="s">
        <v>278</v>
      </c>
      <c r="D155" t="s">
        <v>411</v>
      </c>
      <c r="E155" t="s">
        <v>249</v>
      </c>
      <c r="F155">
        <v>216</v>
      </c>
      <c r="H155" s="2">
        <f>COUNTIF(K:K,A155)</f>
        <v>1</v>
      </c>
      <c r="I155" s="2">
        <f t="shared" si="2"/>
        <v>0</v>
      </c>
      <c r="K155">
        <v>10643</v>
      </c>
      <c r="L155" t="s">
        <v>574</v>
      </c>
      <c r="M155" t="s">
        <v>281</v>
      </c>
      <c r="N155">
        <v>12</v>
      </c>
      <c r="O155" t="s">
        <v>249</v>
      </c>
      <c r="P155">
        <v>340</v>
      </c>
      <c r="R155" t="str">
        <f ca="1">IFERROR(IF(VLOOKUP(K155,A:F,6,FALSE)&lt;&gt;P155,"INSERT INTO playerTPEHistory ( playerID, playerTPE, historyDate, historySeason, historyWeek, historyLeague ) VALUES ("&amp;K155&amp;", "&amp;F155&amp;", '"&amp;TEXT(NOW(),"yyyy-mm-dd")&amp;"', "&amp;$E$1&amp;", "&amp;$G$1&amp;", '"&amp;VLOOKUP(E155,Index!B:C,2,FALSE)&amp;" ' );",""),"")</f>
        <v>INSERT INTO playerTPEHistory ( playerID, playerTPE, historyDate, historySeason, historyWeek, historyLeague ) VALUES (10643, 216, '2019-04-01', 14, 4, 'NSFL ' );</v>
      </c>
    </row>
    <row r="156" spans="1:18" x14ac:dyDescent="0.25">
      <c r="A156">
        <v>10643</v>
      </c>
      <c r="B156" t="s">
        <v>574</v>
      </c>
      <c r="C156" t="s">
        <v>281</v>
      </c>
      <c r="D156" t="s">
        <v>411</v>
      </c>
      <c r="E156" t="s">
        <v>249</v>
      </c>
      <c r="F156">
        <v>381</v>
      </c>
      <c r="H156" s="2">
        <f>COUNTIF(K:K,A156)</f>
        <v>1</v>
      </c>
      <c r="I156" s="2">
        <f t="shared" si="2"/>
        <v>0</v>
      </c>
      <c r="K156">
        <v>10568</v>
      </c>
      <c r="L156" t="s">
        <v>575</v>
      </c>
      <c r="M156" t="s">
        <v>278</v>
      </c>
      <c r="N156">
        <v>12</v>
      </c>
      <c r="O156" t="s">
        <v>249</v>
      </c>
      <c r="P156">
        <v>562</v>
      </c>
      <c r="R156" t="str">
        <f ca="1">IFERROR(IF(VLOOKUP(K156,A:F,6,FALSE)&lt;&gt;P156,"INSERT INTO playerTPEHistory ( playerID, playerTPE, historyDate, historySeason, historyWeek, historyLeague ) VALUES ("&amp;K156&amp;", "&amp;F156&amp;", '"&amp;TEXT(NOW(),"yyyy-mm-dd")&amp;"', "&amp;$E$1&amp;", "&amp;$G$1&amp;", '"&amp;VLOOKUP(E156,Index!B:C,2,FALSE)&amp;" ' );",""),"")</f>
        <v>INSERT INTO playerTPEHistory ( playerID, playerTPE, historyDate, historySeason, historyWeek, historyLeague ) VALUES (10568, 381, '2019-04-01', 14, 4, 'NSFL ' );</v>
      </c>
    </row>
    <row r="157" spans="1:18" x14ac:dyDescent="0.25">
      <c r="A157">
        <v>10568</v>
      </c>
      <c r="B157" t="s">
        <v>575</v>
      </c>
      <c r="C157" t="s">
        <v>278</v>
      </c>
      <c r="D157" t="s">
        <v>411</v>
      </c>
      <c r="E157" t="s">
        <v>249</v>
      </c>
      <c r="F157">
        <v>573</v>
      </c>
      <c r="H157" s="2">
        <f>COUNTIF(K:K,A157)</f>
        <v>1</v>
      </c>
      <c r="I157" s="2">
        <f t="shared" si="2"/>
        <v>0</v>
      </c>
      <c r="K157">
        <v>10206</v>
      </c>
      <c r="L157" t="s">
        <v>576</v>
      </c>
      <c r="M157" t="s">
        <v>276</v>
      </c>
      <c r="N157">
        <v>11</v>
      </c>
      <c r="O157" t="s">
        <v>249</v>
      </c>
      <c r="P157">
        <v>421</v>
      </c>
      <c r="R157" t="str">
        <f ca="1">IFERROR(IF(VLOOKUP(K157,A:F,6,FALSE)&lt;&gt;P157,"INSERT INTO playerTPEHistory ( playerID, playerTPE, historyDate, historySeason, historyWeek, historyLeague ) VALUES ("&amp;K157&amp;", "&amp;F157&amp;", '"&amp;TEXT(NOW(),"yyyy-mm-dd")&amp;"', "&amp;$E$1&amp;", "&amp;$G$1&amp;", '"&amp;VLOOKUP(E157,Index!B:C,2,FALSE)&amp;" ' );",""),"")</f>
        <v/>
      </c>
    </row>
    <row r="158" spans="1:18" x14ac:dyDescent="0.25">
      <c r="A158">
        <v>10206</v>
      </c>
      <c r="B158" t="s">
        <v>576</v>
      </c>
      <c r="C158" t="s">
        <v>276</v>
      </c>
      <c r="D158" t="s">
        <v>418</v>
      </c>
      <c r="E158" t="s">
        <v>249</v>
      </c>
      <c r="F158">
        <v>421</v>
      </c>
      <c r="H158" s="2">
        <f>COUNTIF(K:K,A158)</f>
        <v>1</v>
      </c>
      <c r="I158" s="2">
        <f t="shared" si="2"/>
        <v>0</v>
      </c>
      <c r="K158">
        <v>10056</v>
      </c>
      <c r="L158" t="s">
        <v>577</v>
      </c>
      <c r="M158" t="s">
        <v>275</v>
      </c>
      <c r="N158">
        <v>11</v>
      </c>
      <c r="O158" t="s">
        <v>249</v>
      </c>
      <c r="P158">
        <v>711</v>
      </c>
      <c r="R158" t="str">
        <f ca="1">IFERROR(IF(VLOOKUP(K158,A:F,6,FALSE)&lt;&gt;P158,"INSERT INTO playerTPEHistory ( playerID, playerTPE, historyDate, historySeason, historyWeek, historyLeague ) VALUES ("&amp;K158&amp;", "&amp;F158&amp;", '"&amp;TEXT(NOW(),"yyyy-mm-dd")&amp;"', "&amp;$E$1&amp;", "&amp;$G$1&amp;", '"&amp;VLOOKUP(E158,Index!B:C,2,FALSE)&amp;" ' );",""),"")</f>
        <v>INSERT INTO playerTPEHistory ( playerID, playerTPE, historyDate, historySeason, historyWeek, historyLeague ) VALUES (10056, 421, '2019-04-01', 14, 4, 'NSFL ' );</v>
      </c>
    </row>
    <row r="159" spans="1:18" x14ac:dyDescent="0.25">
      <c r="A159">
        <v>10056</v>
      </c>
      <c r="B159" t="s">
        <v>577</v>
      </c>
      <c r="C159" t="s">
        <v>275</v>
      </c>
      <c r="D159" t="s">
        <v>418</v>
      </c>
      <c r="E159" t="s">
        <v>249</v>
      </c>
      <c r="F159">
        <v>720</v>
      </c>
      <c r="H159" s="2">
        <f>COUNTIF(K:K,A159)</f>
        <v>1</v>
      </c>
      <c r="I159" s="2">
        <f t="shared" si="2"/>
        <v>0</v>
      </c>
      <c r="K159">
        <v>9991</v>
      </c>
      <c r="L159" t="s">
        <v>578</v>
      </c>
      <c r="M159" t="s">
        <v>277</v>
      </c>
      <c r="N159">
        <v>11</v>
      </c>
      <c r="O159" t="s">
        <v>249</v>
      </c>
      <c r="P159">
        <v>615</v>
      </c>
      <c r="R159" t="str">
        <f ca="1">IFERROR(IF(VLOOKUP(K159,A:F,6,FALSE)&lt;&gt;P159,"INSERT INTO playerTPEHistory ( playerID, playerTPE, historyDate, historySeason, historyWeek, historyLeague ) VALUES ("&amp;K159&amp;", "&amp;F159&amp;", '"&amp;TEXT(NOW(),"yyyy-mm-dd")&amp;"', "&amp;$E$1&amp;", "&amp;$G$1&amp;", '"&amp;VLOOKUP(E159,Index!B:C,2,FALSE)&amp;" ' );",""),"")</f>
        <v>INSERT INTO playerTPEHistory ( playerID, playerTPE, historyDate, historySeason, historyWeek, historyLeague ) VALUES (9991, 720, '2019-04-01', 14, 4, 'NSFL ' );</v>
      </c>
    </row>
    <row r="160" spans="1:18" x14ac:dyDescent="0.25">
      <c r="A160">
        <v>9991</v>
      </c>
      <c r="B160" t="s">
        <v>578</v>
      </c>
      <c r="C160" t="s">
        <v>277</v>
      </c>
      <c r="D160" t="s">
        <v>418</v>
      </c>
      <c r="E160" t="s">
        <v>249</v>
      </c>
      <c r="F160">
        <v>622</v>
      </c>
      <c r="H160" s="2">
        <f>COUNTIF(K:K,A160)</f>
        <v>1</v>
      </c>
      <c r="I160" s="2">
        <f t="shared" si="2"/>
        <v>0</v>
      </c>
      <c r="K160">
        <v>9997</v>
      </c>
      <c r="L160" t="s">
        <v>579</v>
      </c>
      <c r="M160" t="s">
        <v>276</v>
      </c>
      <c r="N160">
        <v>11</v>
      </c>
      <c r="O160" t="s">
        <v>249</v>
      </c>
      <c r="P160">
        <v>520</v>
      </c>
      <c r="R160" t="str">
        <f ca="1">IFERROR(IF(VLOOKUP(K160,A:F,6,FALSE)&lt;&gt;P160,"INSERT INTO playerTPEHistory ( playerID, playerTPE, historyDate, historySeason, historyWeek, historyLeague ) VALUES ("&amp;K160&amp;", "&amp;F160&amp;", '"&amp;TEXT(NOW(),"yyyy-mm-dd")&amp;"', "&amp;$E$1&amp;", "&amp;$G$1&amp;", '"&amp;VLOOKUP(E160,Index!B:C,2,FALSE)&amp;" ' );",""),"")</f>
        <v/>
      </c>
    </row>
    <row r="161" spans="1:18" x14ac:dyDescent="0.25">
      <c r="A161">
        <v>9997</v>
      </c>
      <c r="B161" t="s">
        <v>579</v>
      </c>
      <c r="C161" t="s">
        <v>278</v>
      </c>
      <c r="D161" t="s">
        <v>418</v>
      </c>
      <c r="E161" t="s">
        <v>249</v>
      </c>
      <c r="F161">
        <v>520</v>
      </c>
      <c r="H161" s="2">
        <f>COUNTIF(K:K,A161)</f>
        <v>1</v>
      </c>
      <c r="I161" s="2">
        <f t="shared" si="2"/>
        <v>0</v>
      </c>
      <c r="K161">
        <v>9850</v>
      </c>
      <c r="L161" t="s">
        <v>580</v>
      </c>
      <c r="M161" t="s">
        <v>281</v>
      </c>
      <c r="N161">
        <v>11</v>
      </c>
      <c r="O161" t="s">
        <v>249</v>
      </c>
      <c r="P161">
        <v>780</v>
      </c>
      <c r="R161" t="str">
        <f ca="1">IFERROR(IF(VLOOKUP(K161,A:F,6,FALSE)&lt;&gt;P161,"INSERT INTO playerTPEHistory ( playerID, playerTPE, historyDate, historySeason, historyWeek, historyLeague ) VALUES ("&amp;K161&amp;", "&amp;F161&amp;", '"&amp;TEXT(NOW(),"yyyy-mm-dd")&amp;"', "&amp;$E$1&amp;", "&amp;$G$1&amp;", '"&amp;VLOOKUP(E161,Index!B:C,2,FALSE)&amp;" ' );",""),"")</f>
        <v>INSERT INTO playerTPEHistory ( playerID, playerTPE, historyDate, historySeason, historyWeek, historyLeague ) VALUES (9850, 520, '2019-04-01', 14, 4, 'NSFL ' );</v>
      </c>
    </row>
    <row r="162" spans="1:18" x14ac:dyDescent="0.25">
      <c r="A162">
        <v>9850</v>
      </c>
      <c r="B162" t="s">
        <v>580</v>
      </c>
      <c r="C162" t="s">
        <v>281</v>
      </c>
      <c r="D162" t="s">
        <v>418</v>
      </c>
      <c r="E162" t="s">
        <v>249</v>
      </c>
      <c r="F162">
        <v>791</v>
      </c>
      <c r="H162" s="2">
        <f>COUNTIF(K:K,A162)</f>
        <v>1</v>
      </c>
      <c r="I162" s="2">
        <f t="shared" si="2"/>
        <v>0</v>
      </c>
      <c r="K162">
        <v>9776</v>
      </c>
      <c r="L162" t="s">
        <v>581</v>
      </c>
      <c r="M162" t="s">
        <v>274</v>
      </c>
      <c r="N162">
        <v>10</v>
      </c>
      <c r="O162" t="s">
        <v>249</v>
      </c>
      <c r="P162">
        <v>140</v>
      </c>
      <c r="R162" t="str">
        <f ca="1">IFERROR(IF(VLOOKUP(K162,A:F,6,FALSE)&lt;&gt;P162,"INSERT INTO playerTPEHistory ( playerID, playerTPE, historyDate, historySeason, historyWeek, historyLeague ) VALUES ("&amp;K162&amp;", "&amp;F162&amp;", '"&amp;TEXT(NOW(),"yyyy-mm-dd")&amp;"', "&amp;$E$1&amp;", "&amp;$G$1&amp;", '"&amp;VLOOKUP(E162,Index!B:C,2,FALSE)&amp;" ' );",""),"")</f>
        <v/>
      </c>
    </row>
    <row r="163" spans="1:18" x14ac:dyDescent="0.25">
      <c r="A163">
        <v>9776</v>
      </c>
      <c r="B163" t="s">
        <v>581</v>
      </c>
      <c r="C163" t="s">
        <v>274</v>
      </c>
      <c r="D163" t="s">
        <v>423</v>
      </c>
      <c r="E163" t="s">
        <v>249</v>
      </c>
      <c r="F163">
        <v>140</v>
      </c>
      <c r="H163" s="2">
        <f>COUNTIF(K:K,A163)</f>
        <v>1</v>
      </c>
      <c r="I163" s="2">
        <f t="shared" si="2"/>
        <v>0</v>
      </c>
      <c r="K163">
        <v>9741</v>
      </c>
      <c r="L163" t="s">
        <v>582</v>
      </c>
      <c r="M163" t="s">
        <v>282</v>
      </c>
      <c r="N163">
        <v>10</v>
      </c>
      <c r="O163" t="s">
        <v>249</v>
      </c>
      <c r="P163">
        <v>382</v>
      </c>
      <c r="R163" t="str">
        <f ca="1">IFERROR(IF(VLOOKUP(K163,A:F,6,FALSE)&lt;&gt;P163,"INSERT INTO playerTPEHistory ( playerID, playerTPE, historyDate, historySeason, historyWeek, historyLeague ) VALUES ("&amp;K163&amp;", "&amp;F163&amp;", '"&amp;TEXT(NOW(),"yyyy-mm-dd")&amp;"', "&amp;$E$1&amp;", "&amp;$G$1&amp;", '"&amp;VLOOKUP(E163,Index!B:C,2,FALSE)&amp;" ' );",""),"")</f>
        <v/>
      </c>
    </row>
    <row r="164" spans="1:18" x14ac:dyDescent="0.25">
      <c r="A164">
        <v>9741</v>
      </c>
      <c r="B164" t="s">
        <v>582</v>
      </c>
      <c r="C164" t="s">
        <v>282</v>
      </c>
      <c r="D164" t="s">
        <v>423</v>
      </c>
      <c r="E164" t="s">
        <v>249</v>
      </c>
      <c r="F164">
        <v>382</v>
      </c>
      <c r="H164" s="2">
        <f>COUNTIF(K:K,A164)</f>
        <v>1</v>
      </c>
      <c r="I164" s="2">
        <f t="shared" si="2"/>
        <v>0</v>
      </c>
      <c r="K164">
        <v>9290</v>
      </c>
      <c r="L164" t="s">
        <v>583</v>
      </c>
      <c r="M164" t="s">
        <v>275</v>
      </c>
      <c r="N164">
        <v>10</v>
      </c>
      <c r="O164" t="s">
        <v>249</v>
      </c>
      <c r="P164">
        <v>994</v>
      </c>
      <c r="R164" t="str">
        <f ca="1">IFERROR(IF(VLOOKUP(K164,A:F,6,FALSE)&lt;&gt;P164,"INSERT INTO playerTPEHistory ( playerID, playerTPE, historyDate, historySeason, historyWeek, historyLeague ) VALUES ("&amp;K164&amp;", "&amp;F164&amp;", '"&amp;TEXT(NOW(),"yyyy-mm-dd")&amp;"', "&amp;$E$1&amp;", "&amp;$G$1&amp;", '"&amp;VLOOKUP(E164,Index!B:C,2,FALSE)&amp;" ' );",""),"")</f>
        <v>INSERT INTO playerTPEHistory ( playerID, playerTPE, historyDate, historySeason, historyWeek, historyLeague ) VALUES (9290, 382, '2019-04-01', 14, 4, 'NSFL ' );</v>
      </c>
    </row>
    <row r="165" spans="1:18" x14ac:dyDescent="0.25">
      <c r="A165">
        <v>9290</v>
      </c>
      <c r="B165" t="s">
        <v>583</v>
      </c>
      <c r="C165" t="s">
        <v>275</v>
      </c>
      <c r="D165" t="s">
        <v>423</v>
      </c>
      <c r="E165" t="s">
        <v>249</v>
      </c>
      <c r="F165">
        <v>1005</v>
      </c>
      <c r="H165" s="2">
        <f>COUNTIF(K:K,A165)</f>
        <v>1</v>
      </c>
      <c r="I165" s="2">
        <f t="shared" si="2"/>
        <v>0</v>
      </c>
      <c r="K165">
        <v>8771</v>
      </c>
      <c r="L165" t="s">
        <v>584</v>
      </c>
      <c r="M165" t="s">
        <v>283</v>
      </c>
      <c r="N165">
        <v>9</v>
      </c>
      <c r="O165" t="s">
        <v>249</v>
      </c>
      <c r="P165">
        <v>976</v>
      </c>
      <c r="R165" t="str">
        <f ca="1">IFERROR(IF(VLOOKUP(K165,A:F,6,FALSE)&lt;&gt;P165,"INSERT INTO playerTPEHistory ( playerID, playerTPE, historyDate, historySeason, historyWeek, historyLeague ) VALUES ("&amp;K165&amp;", "&amp;F165&amp;", '"&amp;TEXT(NOW(),"yyyy-mm-dd")&amp;"', "&amp;$E$1&amp;", "&amp;$G$1&amp;", '"&amp;VLOOKUP(E165,Index!B:C,2,FALSE)&amp;" ' );",""),"")</f>
        <v>INSERT INTO playerTPEHistory ( playerID, playerTPE, historyDate, historySeason, historyWeek, historyLeague ) VALUES (8771, 1005, '2019-04-01', 14, 4, 'NSFL ' );</v>
      </c>
    </row>
    <row r="166" spans="1:18" x14ac:dyDescent="0.25">
      <c r="A166">
        <v>8771</v>
      </c>
      <c r="B166" t="s">
        <v>584</v>
      </c>
      <c r="C166" t="s">
        <v>283</v>
      </c>
      <c r="D166" t="s">
        <v>429</v>
      </c>
      <c r="E166" t="s">
        <v>249</v>
      </c>
      <c r="F166">
        <v>1012</v>
      </c>
      <c r="H166" s="2">
        <f>COUNTIF(K:K,A166)</f>
        <v>1</v>
      </c>
      <c r="I166" s="2">
        <f t="shared" si="2"/>
        <v>0</v>
      </c>
      <c r="K166">
        <v>8740</v>
      </c>
      <c r="L166" t="s">
        <v>585</v>
      </c>
      <c r="M166" t="s">
        <v>282</v>
      </c>
      <c r="N166">
        <v>9</v>
      </c>
      <c r="O166" t="s">
        <v>249</v>
      </c>
      <c r="P166">
        <v>702</v>
      </c>
      <c r="R166" t="str">
        <f ca="1">IFERROR(IF(VLOOKUP(K166,A:F,6,FALSE)&lt;&gt;P166,"INSERT INTO playerTPEHistory ( playerID, playerTPE, historyDate, historySeason, historyWeek, historyLeague ) VALUES ("&amp;K166&amp;", "&amp;F166&amp;", '"&amp;TEXT(NOW(),"yyyy-mm-dd")&amp;"', "&amp;$E$1&amp;", "&amp;$G$1&amp;", '"&amp;VLOOKUP(E166,Index!B:C,2,FALSE)&amp;" ' );",""),"")</f>
        <v/>
      </c>
    </row>
    <row r="167" spans="1:18" x14ac:dyDescent="0.25">
      <c r="A167">
        <v>8740</v>
      </c>
      <c r="B167" t="s">
        <v>585</v>
      </c>
      <c r="C167" t="s">
        <v>282</v>
      </c>
      <c r="D167" t="s">
        <v>429</v>
      </c>
      <c r="E167" t="s">
        <v>249</v>
      </c>
      <c r="F167">
        <v>702</v>
      </c>
      <c r="H167" s="2">
        <f>COUNTIF(K:K,A167)</f>
        <v>1</v>
      </c>
      <c r="I167" s="2">
        <f t="shared" si="2"/>
        <v>0</v>
      </c>
      <c r="K167">
        <v>8552</v>
      </c>
      <c r="L167" t="s">
        <v>586</v>
      </c>
      <c r="M167" t="s">
        <v>278</v>
      </c>
      <c r="N167">
        <v>9</v>
      </c>
      <c r="O167" t="s">
        <v>249</v>
      </c>
      <c r="P167">
        <v>110</v>
      </c>
      <c r="R167" t="str">
        <f ca="1">IFERROR(IF(VLOOKUP(K167,A:F,6,FALSE)&lt;&gt;P167,"INSERT INTO playerTPEHistory ( playerID, playerTPE, historyDate, historySeason, historyWeek, historyLeague ) VALUES ("&amp;K167&amp;", "&amp;F167&amp;", '"&amp;TEXT(NOW(),"yyyy-mm-dd")&amp;"', "&amp;$E$1&amp;", "&amp;$G$1&amp;", '"&amp;VLOOKUP(E167,Index!B:C,2,FALSE)&amp;" ' );",""),"")</f>
        <v/>
      </c>
    </row>
    <row r="168" spans="1:18" x14ac:dyDescent="0.25">
      <c r="A168">
        <v>8552</v>
      </c>
      <c r="B168" t="s">
        <v>586</v>
      </c>
      <c r="C168" t="s">
        <v>278</v>
      </c>
      <c r="D168" t="s">
        <v>429</v>
      </c>
      <c r="E168" t="s">
        <v>249</v>
      </c>
      <c r="F168">
        <v>110</v>
      </c>
      <c r="H168" s="2">
        <f>COUNTIF(K:K,A168)</f>
        <v>1</v>
      </c>
      <c r="I168" s="2">
        <f t="shared" si="2"/>
        <v>0</v>
      </c>
      <c r="K168">
        <v>7834</v>
      </c>
      <c r="L168" t="s">
        <v>587</v>
      </c>
      <c r="M168" t="s">
        <v>278</v>
      </c>
      <c r="N168">
        <v>8</v>
      </c>
      <c r="O168" t="s">
        <v>249</v>
      </c>
      <c r="P168">
        <v>551</v>
      </c>
      <c r="R168" t="str">
        <f ca="1">IFERROR(IF(VLOOKUP(K168,A:F,6,FALSE)&lt;&gt;P168,"INSERT INTO playerTPEHistory ( playerID, playerTPE, historyDate, historySeason, historyWeek, historyLeague ) VALUES ("&amp;K168&amp;", "&amp;F168&amp;", '"&amp;TEXT(NOW(),"yyyy-mm-dd")&amp;"', "&amp;$E$1&amp;", "&amp;$G$1&amp;", '"&amp;VLOOKUP(E168,Index!B:C,2,FALSE)&amp;" ' );",""),"")</f>
        <v/>
      </c>
    </row>
    <row r="169" spans="1:18" x14ac:dyDescent="0.25">
      <c r="A169">
        <v>7834</v>
      </c>
      <c r="B169" t="s">
        <v>587</v>
      </c>
      <c r="C169" t="s">
        <v>278</v>
      </c>
      <c r="D169" t="s">
        <v>433</v>
      </c>
      <c r="E169" t="s">
        <v>249</v>
      </c>
      <c r="F169">
        <v>551</v>
      </c>
      <c r="H169" s="2">
        <f>COUNTIF(K:K,A169)</f>
        <v>1</v>
      </c>
      <c r="I169" s="2">
        <f t="shared" si="2"/>
        <v>0</v>
      </c>
      <c r="K169">
        <v>7823</v>
      </c>
      <c r="L169" t="s">
        <v>588</v>
      </c>
      <c r="M169" t="s">
        <v>275</v>
      </c>
      <c r="N169">
        <v>7</v>
      </c>
      <c r="O169" t="s">
        <v>249</v>
      </c>
      <c r="P169">
        <v>811</v>
      </c>
      <c r="R169" t="str">
        <f ca="1">IFERROR(IF(VLOOKUP(K169,A:F,6,FALSE)&lt;&gt;P169,"INSERT INTO playerTPEHistory ( playerID, playerTPE, historyDate, historySeason, historyWeek, historyLeague ) VALUES ("&amp;K169&amp;", "&amp;F169&amp;", '"&amp;TEXT(NOW(),"yyyy-mm-dd")&amp;"', "&amp;$E$1&amp;", "&amp;$G$1&amp;", '"&amp;VLOOKUP(E169,Index!B:C,2,FALSE)&amp;" ' );",""),"")</f>
        <v>INSERT INTO playerTPEHistory ( playerID, playerTPE, historyDate, historySeason, historyWeek, historyLeague ) VALUES (7823, 551, '2019-04-01', 14, 4, 'NSFL ' );</v>
      </c>
    </row>
    <row r="170" spans="1:18" x14ac:dyDescent="0.25">
      <c r="A170">
        <v>7823</v>
      </c>
      <c r="B170" t="s">
        <v>588</v>
      </c>
      <c r="C170" t="s">
        <v>275</v>
      </c>
      <c r="D170" t="s">
        <v>452</v>
      </c>
      <c r="E170" t="s">
        <v>249</v>
      </c>
      <c r="F170">
        <v>880</v>
      </c>
      <c r="H170" s="2">
        <f>COUNTIF(K:K,A170)</f>
        <v>1</v>
      </c>
      <c r="I170" s="2">
        <f t="shared" si="2"/>
        <v>0</v>
      </c>
      <c r="K170">
        <v>6550</v>
      </c>
      <c r="L170" t="s">
        <v>589</v>
      </c>
      <c r="M170" t="s">
        <v>275</v>
      </c>
      <c r="N170">
        <v>6</v>
      </c>
      <c r="O170" t="s">
        <v>249</v>
      </c>
      <c r="P170">
        <v>894</v>
      </c>
      <c r="R170" t="str">
        <f ca="1">IFERROR(IF(VLOOKUP(K170,A:F,6,FALSE)&lt;&gt;P170,"INSERT INTO playerTPEHistory ( playerID, playerTPE, historyDate, historySeason, historyWeek, historyLeague ) VALUES ("&amp;K170&amp;", "&amp;F170&amp;", '"&amp;TEXT(NOW(),"yyyy-mm-dd")&amp;"', "&amp;$E$1&amp;", "&amp;$G$1&amp;", '"&amp;VLOOKUP(E170,Index!B:C,2,FALSE)&amp;" ' );",""),"")</f>
        <v/>
      </c>
    </row>
    <row r="171" spans="1:18" x14ac:dyDescent="0.25">
      <c r="A171">
        <v>6550</v>
      </c>
      <c r="B171" t="s">
        <v>589</v>
      </c>
      <c r="C171" t="s">
        <v>275</v>
      </c>
      <c r="D171" t="s">
        <v>454</v>
      </c>
      <c r="E171" t="s">
        <v>249</v>
      </c>
      <c r="F171">
        <v>894</v>
      </c>
      <c r="H171" s="2">
        <f>COUNTIF(K:K,A171)</f>
        <v>1</v>
      </c>
      <c r="I171" s="2">
        <f t="shared" si="2"/>
        <v>0</v>
      </c>
      <c r="K171">
        <v>6250</v>
      </c>
      <c r="L171" t="s">
        <v>590</v>
      </c>
      <c r="M171" t="s">
        <v>280</v>
      </c>
      <c r="N171">
        <v>6</v>
      </c>
      <c r="O171" t="s">
        <v>249</v>
      </c>
      <c r="P171">
        <v>336</v>
      </c>
      <c r="R171" t="str">
        <f ca="1">IFERROR(IF(VLOOKUP(K171,A:F,6,FALSE)&lt;&gt;P171,"INSERT INTO playerTPEHistory ( playerID, playerTPE, historyDate, historySeason, historyWeek, historyLeague ) VALUES ("&amp;K171&amp;", "&amp;F171&amp;", '"&amp;TEXT(NOW(),"yyyy-mm-dd")&amp;"', "&amp;$E$1&amp;", "&amp;$G$1&amp;", '"&amp;VLOOKUP(E171,Index!B:C,2,FALSE)&amp;" ' );",""),"")</f>
        <v/>
      </c>
    </row>
    <row r="172" spans="1:18" x14ac:dyDescent="0.25">
      <c r="A172">
        <v>6250</v>
      </c>
      <c r="B172" t="s">
        <v>590</v>
      </c>
      <c r="C172" t="s">
        <v>280</v>
      </c>
      <c r="D172" t="s">
        <v>454</v>
      </c>
      <c r="E172" t="s">
        <v>249</v>
      </c>
      <c r="F172">
        <v>336</v>
      </c>
      <c r="H172" s="2">
        <f>COUNTIF(K:K,A172)</f>
        <v>1</v>
      </c>
      <c r="I172" s="2">
        <f t="shared" si="2"/>
        <v>0</v>
      </c>
      <c r="K172">
        <v>5326</v>
      </c>
      <c r="L172" t="s">
        <v>591</v>
      </c>
      <c r="M172" t="s">
        <v>278</v>
      </c>
      <c r="N172">
        <v>5</v>
      </c>
      <c r="O172" t="s">
        <v>249</v>
      </c>
      <c r="P172">
        <v>175</v>
      </c>
      <c r="R172" t="str">
        <f ca="1">IFERROR(IF(VLOOKUP(K172,A:F,6,FALSE)&lt;&gt;P172,"INSERT INTO playerTPEHistory ( playerID, playerTPE, historyDate, historySeason, historyWeek, historyLeague ) VALUES ("&amp;K172&amp;", "&amp;F172&amp;", '"&amp;TEXT(NOW(),"yyyy-mm-dd")&amp;"', "&amp;$E$1&amp;", "&amp;$G$1&amp;", '"&amp;VLOOKUP(E172,Index!B:C,2,FALSE)&amp;" ' );",""),"")</f>
        <v/>
      </c>
    </row>
    <row r="173" spans="1:18" x14ac:dyDescent="0.25">
      <c r="A173">
        <v>5326</v>
      </c>
      <c r="B173" t="s">
        <v>591</v>
      </c>
      <c r="C173" t="s">
        <v>278</v>
      </c>
      <c r="D173" t="s">
        <v>456</v>
      </c>
      <c r="E173" t="s">
        <v>249</v>
      </c>
      <c r="F173">
        <v>175</v>
      </c>
      <c r="H173" s="2">
        <f>COUNTIF(K:K,A173)</f>
        <v>1</v>
      </c>
      <c r="I173" s="2">
        <f t="shared" si="2"/>
        <v>0</v>
      </c>
      <c r="K173">
        <v>5103</v>
      </c>
      <c r="L173" t="s">
        <v>592</v>
      </c>
      <c r="M173" t="s">
        <v>281</v>
      </c>
      <c r="N173">
        <v>5</v>
      </c>
      <c r="O173" t="s">
        <v>249</v>
      </c>
      <c r="P173">
        <v>776</v>
      </c>
      <c r="R173" t="str">
        <f ca="1">IFERROR(IF(VLOOKUP(K173,A:F,6,FALSE)&lt;&gt;P173,"INSERT INTO playerTPEHistory ( playerID, playerTPE, historyDate, historySeason, historyWeek, historyLeague ) VALUES ("&amp;K173&amp;", "&amp;F173&amp;", '"&amp;TEXT(NOW(),"yyyy-mm-dd")&amp;"', "&amp;$E$1&amp;", "&amp;$G$1&amp;", '"&amp;VLOOKUP(E173,Index!B:C,2,FALSE)&amp;" ' );",""),"")</f>
        <v>INSERT INTO playerTPEHistory ( playerID, playerTPE, historyDate, historySeason, historyWeek, historyLeague ) VALUES (5103, 175, '2019-04-01', 14, 4, 'NSFL ' );</v>
      </c>
    </row>
    <row r="174" spans="1:18" x14ac:dyDescent="0.25">
      <c r="A174">
        <v>5103</v>
      </c>
      <c r="B174" t="s">
        <v>592</v>
      </c>
      <c r="C174" t="s">
        <v>281</v>
      </c>
      <c r="D174" t="s">
        <v>456</v>
      </c>
      <c r="E174" t="s">
        <v>249</v>
      </c>
      <c r="F174">
        <v>795</v>
      </c>
      <c r="H174" s="2">
        <f>COUNTIF(K:K,A174)</f>
        <v>1</v>
      </c>
      <c r="I174" s="2">
        <f t="shared" si="2"/>
        <v>0</v>
      </c>
      <c r="K174">
        <v>11418</v>
      </c>
      <c r="L174" t="s">
        <v>488</v>
      </c>
      <c r="M174" t="s">
        <v>280</v>
      </c>
      <c r="N174">
        <v>13</v>
      </c>
      <c r="O174" t="s">
        <v>250</v>
      </c>
      <c r="P174">
        <v>50</v>
      </c>
      <c r="R174" t="str">
        <f ca="1">IFERROR(IF(VLOOKUP(K174,A:F,6,FALSE)&lt;&gt;P174,"INSERT INTO playerTPEHistory ( playerID, playerTPE, historyDate, historySeason, historyWeek, historyLeague ) VALUES ("&amp;K174&amp;", "&amp;F174&amp;", '"&amp;TEXT(NOW(),"yyyy-mm-dd")&amp;"', "&amp;$E$1&amp;", "&amp;$G$1&amp;", '"&amp;VLOOKUP(E174,Index!B:C,2,FALSE)&amp;" ' );",""),"")</f>
        <v/>
      </c>
    </row>
    <row r="175" spans="1:18" x14ac:dyDescent="0.25">
      <c r="A175">
        <v>11075</v>
      </c>
      <c r="B175" t="s">
        <v>593</v>
      </c>
      <c r="C175" t="s">
        <v>280</v>
      </c>
      <c r="D175" t="s">
        <v>409</v>
      </c>
      <c r="E175" t="s">
        <v>250</v>
      </c>
      <c r="F175">
        <v>67</v>
      </c>
      <c r="H175" s="2">
        <f>COUNTIF(K:K,A175)</f>
        <v>1</v>
      </c>
      <c r="I175" s="2">
        <f t="shared" si="2"/>
        <v>0</v>
      </c>
      <c r="K175">
        <v>11075</v>
      </c>
      <c r="L175" t="s">
        <v>593</v>
      </c>
      <c r="M175" t="s">
        <v>280</v>
      </c>
      <c r="N175">
        <v>13</v>
      </c>
      <c r="O175" t="s">
        <v>250</v>
      </c>
      <c r="P175">
        <v>67</v>
      </c>
      <c r="R175" t="str">
        <f ca="1">IFERROR(IF(VLOOKUP(K175,A:F,6,FALSE)&lt;&gt;P175,"INSERT INTO playerTPEHistory ( playerID, playerTPE, historyDate, historySeason, historyWeek, historyLeague ) VALUES ("&amp;K175&amp;", "&amp;F175&amp;", '"&amp;TEXT(NOW(),"yyyy-mm-dd")&amp;"', "&amp;$E$1&amp;", "&amp;$G$1&amp;", '"&amp;VLOOKUP(E175,Index!B:C,2,FALSE)&amp;" ' );",""),"")</f>
        <v/>
      </c>
    </row>
    <row r="176" spans="1:18" x14ac:dyDescent="0.25">
      <c r="A176">
        <v>10984</v>
      </c>
      <c r="B176" t="s">
        <v>594</v>
      </c>
      <c r="C176" t="s">
        <v>278</v>
      </c>
      <c r="D176" t="s">
        <v>411</v>
      </c>
      <c r="E176" t="s">
        <v>250</v>
      </c>
      <c r="F176">
        <v>50</v>
      </c>
      <c r="H176" s="2">
        <f>COUNTIF(K:K,A176)</f>
        <v>1</v>
      </c>
      <c r="I176" s="2">
        <f t="shared" si="2"/>
        <v>0</v>
      </c>
      <c r="K176">
        <v>10984</v>
      </c>
      <c r="L176" t="s">
        <v>594</v>
      </c>
      <c r="M176" t="s">
        <v>278</v>
      </c>
      <c r="N176">
        <v>12</v>
      </c>
      <c r="O176" t="s">
        <v>250</v>
      </c>
      <c r="P176">
        <v>50</v>
      </c>
      <c r="R176" t="str">
        <f ca="1">IFERROR(IF(VLOOKUP(K176,A:F,6,FALSE)&lt;&gt;P176,"INSERT INTO playerTPEHistory ( playerID, playerTPE, historyDate, historySeason, historyWeek, historyLeague ) VALUES ("&amp;K176&amp;", "&amp;F176&amp;", '"&amp;TEXT(NOW(),"yyyy-mm-dd")&amp;"', "&amp;$E$1&amp;", "&amp;$G$1&amp;", '"&amp;VLOOKUP(E176,Index!B:C,2,FALSE)&amp;" ' );",""),"")</f>
        <v/>
      </c>
    </row>
    <row r="177" spans="1:18" x14ac:dyDescent="0.25">
      <c r="A177">
        <v>9836</v>
      </c>
      <c r="B177" t="s">
        <v>595</v>
      </c>
      <c r="C177" t="s">
        <v>283</v>
      </c>
      <c r="D177" t="s">
        <v>418</v>
      </c>
      <c r="E177" t="s">
        <v>250</v>
      </c>
      <c r="F177">
        <v>50</v>
      </c>
      <c r="H177" s="2">
        <f>COUNTIF(K:K,A177)</f>
        <v>1</v>
      </c>
      <c r="I177" s="2">
        <f t="shared" si="2"/>
        <v>0</v>
      </c>
      <c r="K177">
        <v>9857</v>
      </c>
      <c r="L177" t="s">
        <v>754</v>
      </c>
      <c r="M177" t="s">
        <v>274</v>
      </c>
      <c r="N177">
        <v>11</v>
      </c>
      <c r="O177" t="s">
        <v>250</v>
      </c>
      <c r="P177">
        <v>76</v>
      </c>
      <c r="R177" t="str">
        <f ca="1">IFERROR(IF(VLOOKUP(K177,A:F,6,FALSE)&lt;&gt;P177,"INSERT INTO playerTPEHistory ( playerID, playerTPE, historyDate, historySeason, historyWeek, historyLeague ) VALUES ("&amp;K177&amp;", "&amp;F177&amp;", '"&amp;TEXT(NOW(),"yyyy-mm-dd")&amp;"', "&amp;$E$1&amp;", "&amp;$G$1&amp;", '"&amp;VLOOKUP(E177,Index!B:C,2,FALSE)&amp;" ' );",""),"")</f>
        <v/>
      </c>
    </row>
    <row r="178" spans="1:18" x14ac:dyDescent="0.25">
      <c r="A178">
        <v>9738</v>
      </c>
      <c r="B178" t="s">
        <v>596</v>
      </c>
      <c r="C178" t="s">
        <v>281</v>
      </c>
      <c r="D178" t="s">
        <v>423</v>
      </c>
      <c r="E178" t="s">
        <v>250</v>
      </c>
      <c r="F178">
        <v>50</v>
      </c>
      <c r="H178" s="2">
        <f>COUNTIF(K:K,A178)</f>
        <v>1</v>
      </c>
      <c r="I178" s="2">
        <f t="shared" si="2"/>
        <v>0</v>
      </c>
      <c r="K178">
        <v>9836</v>
      </c>
      <c r="L178" t="s">
        <v>595</v>
      </c>
      <c r="M178" t="s">
        <v>283</v>
      </c>
      <c r="N178">
        <v>11</v>
      </c>
      <c r="O178" t="s">
        <v>250</v>
      </c>
      <c r="P178">
        <v>50</v>
      </c>
      <c r="R178" t="str">
        <f ca="1">IFERROR(IF(VLOOKUP(K178,A:F,6,FALSE)&lt;&gt;P178,"INSERT INTO playerTPEHistory ( playerID, playerTPE, historyDate, historySeason, historyWeek, historyLeague ) VALUES ("&amp;K178&amp;", "&amp;F178&amp;", '"&amp;TEXT(NOW(),"yyyy-mm-dd")&amp;"', "&amp;$E$1&amp;", "&amp;$G$1&amp;", '"&amp;VLOOKUP(E178,Index!B:C,2,FALSE)&amp;" ' );",""),"")</f>
        <v/>
      </c>
    </row>
    <row r="179" spans="1:18" x14ac:dyDescent="0.25">
      <c r="A179">
        <v>9730</v>
      </c>
      <c r="B179" t="s">
        <v>597</v>
      </c>
      <c r="C179" t="s">
        <v>278</v>
      </c>
      <c r="D179" t="s">
        <v>423</v>
      </c>
      <c r="E179" t="s">
        <v>250</v>
      </c>
      <c r="F179">
        <v>50</v>
      </c>
      <c r="H179" s="2">
        <f>COUNTIF(K:K,A179)</f>
        <v>1</v>
      </c>
      <c r="I179" s="2">
        <f t="shared" si="2"/>
        <v>0</v>
      </c>
      <c r="K179">
        <v>9738</v>
      </c>
      <c r="L179" t="s">
        <v>596</v>
      </c>
      <c r="M179" t="s">
        <v>281</v>
      </c>
      <c r="N179">
        <v>10</v>
      </c>
      <c r="O179" t="s">
        <v>250</v>
      </c>
      <c r="P179">
        <v>50</v>
      </c>
      <c r="R179" t="str">
        <f ca="1">IFERROR(IF(VLOOKUP(K179,A:F,6,FALSE)&lt;&gt;P179,"INSERT INTO playerTPEHistory ( playerID, playerTPE, historyDate, historySeason, historyWeek, historyLeague ) VALUES ("&amp;K179&amp;", "&amp;F179&amp;", '"&amp;TEXT(NOW(),"yyyy-mm-dd")&amp;"', "&amp;$E$1&amp;", "&amp;$G$1&amp;", '"&amp;VLOOKUP(E179,Index!B:C,2,FALSE)&amp;" ' );",""),"")</f>
        <v/>
      </c>
    </row>
    <row r="180" spans="1:18" x14ac:dyDescent="0.25">
      <c r="A180">
        <v>9726</v>
      </c>
      <c r="B180" t="s">
        <v>598</v>
      </c>
      <c r="C180" t="s">
        <v>277</v>
      </c>
      <c r="D180" t="s">
        <v>423</v>
      </c>
      <c r="E180" t="s">
        <v>250</v>
      </c>
      <c r="F180">
        <v>57</v>
      </c>
      <c r="H180" s="2">
        <f>COUNTIF(K:K,A180)</f>
        <v>1</v>
      </c>
      <c r="I180" s="2">
        <f t="shared" si="2"/>
        <v>0</v>
      </c>
      <c r="K180">
        <v>9730</v>
      </c>
      <c r="L180" t="s">
        <v>597</v>
      </c>
      <c r="M180" t="s">
        <v>278</v>
      </c>
      <c r="N180">
        <v>10</v>
      </c>
      <c r="O180" t="s">
        <v>250</v>
      </c>
      <c r="P180">
        <v>50</v>
      </c>
      <c r="R180" t="str">
        <f ca="1">IFERROR(IF(VLOOKUP(K180,A:F,6,FALSE)&lt;&gt;P180,"INSERT INTO playerTPEHistory ( playerID, playerTPE, historyDate, historySeason, historyWeek, historyLeague ) VALUES ("&amp;K180&amp;", "&amp;F180&amp;", '"&amp;TEXT(NOW(),"yyyy-mm-dd")&amp;"', "&amp;$E$1&amp;", "&amp;$G$1&amp;", '"&amp;VLOOKUP(E180,Index!B:C,2,FALSE)&amp;" ' );",""),"")</f>
        <v/>
      </c>
    </row>
    <row r="181" spans="1:18" x14ac:dyDescent="0.25">
      <c r="A181">
        <v>9540</v>
      </c>
      <c r="B181" t="s">
        <v>599</v>
      </c>
      <c r="C181" t="s">
        <v>282</v>
      </c>
      <c r="D181" t="s">
        <v>423</v>
      </c>
      <c r="E181" t="s">
        <v>250</v>
      </c>
      <c r="F181">
        <v>76</v>
      </c>
      <c r="H181" s="2">
        <f>COUNTIF(K:K,A181)</f>
        <v>1</v>
      </c>
      <c r="I181" s="2">
        <f t="shared" si="2"/>
        <v>0</v>
      </c>
      <c r="K181">
        <v>9726</v>
      </c>
      <c r="L181" t="s">
        <v>598</v>
      </c>
      <c r="M181" t="s">
        <v>277</v>
      </c>
      <c r="N181">
        <v>10</v>
      </c>
      <c r="O181" t="s">
        <v>250</v>
      </c>
      <c r="P181">
        <v>57</v>
      </c>
      <c r="R181" t="str">
        <f ca="1">IFERROR(IF(VLOOKUP(K181,A:F,6,FALSE)&lt;&gt;P181,"INSERT INTO playerTPEHistory ( playerID, playerTPE, historyDate, historySeason, historyWeek, historyLeague ) VALUES ("&amp;K181&amp;", "&amp;F181&amp;", '"&amp;TEXT(NOW(),"yyyy-mm-dd")&amp;"', "&amp;$E$1&amp;", "&amp;$G$1&amp;", '"&amp;VLOOKUP(E181,Index!B:C,2,FALSE)&amp;" ' );",""),"")</f>
        <v/>
      </c>
    </row>
    <row r="182" spans="1:18" x14ac:dyDescent="0.25">
      <c r="A182">
        <v>9504</v>
      </c>
      <c r="B182" t="s">
        <v>600</v>
      </c>
      <c r="C182" t="s">
        <v>282</v>
      </c>
      <c r="D182" t="s">
        <v>423</v>
      </c>
      <c r="E182" t="s">
        <v>250</v>
      </c>
      <c r="F182">
        <v>90</v>
      </c>
      <c r="H182" s="2">
        <f>COUNTIF(K:K,A182)</f>
        <v>1</v>
      </c>
      <c r="I182" s="2">
        <f t="shared" si="2"/>
        <v>0</v>
      </c>
      <c r="K182">
        <v>9540</v>
      </c>
      <c r="L182" t="s">
        <v>599</v>
      </c>
      <c r="M182" t="s">
        <v>282</v>
      </c>
      <c r="N182">
        <v>10</v>
      </c>
      <c r="O182" t="s">
        <v>250</v>
      </c>
      <c r="P182">
        <v>76</v>
      </c>
      <c r="R182" t="str">
        <f ca="1">IFERROR(IF(VLOOKUP(K182,A:F,6,FALSE)&lt;&gt;P182,"INSERT INTO playerTPEHistory ( playerID, playerTPE, historyDate, historySeason, historyWeek, historyLeague ) VALUES ("&amp;K182&amp;", "&amp;F182&amp;", '"&amp;TEXT(NOW(),"yyyy-mm-dd")&amp;"', "&amp;$E$1&amp;", "&amp;$G$1&amp;", '"&amp;VLOOKUP(E182,Index!B:C,2,FALSE)&amp;" ' );",""),"")</f>
        <v/>
      </c>
    </row>
    <row r="183" spans="1:18" x14ac:dyDescent="0.25">
      <c r="A183">
        <v>9364</v>
      </c>
      <c r="B183" t="s">
        <v>601</v>
      </c>
      <c r="C183" t="s">
        <v>283</v>
      </c>
      <c r="D183" t="s">
        <v>423</v>
      </c>
      <c r="E183" t="s">
        <v>250</v>
      </c>
      <c r="F183">
        <v>358</v>
      </c>
      <c r="H183" s="2">
        <f>COUNTIF(K:K,A183)</f>
        <v>1</v>
      </c>
      <c r="I183" s="2">
        <f t="shared" si="2"/>
        <v>0</v>
      </c>
      <c r="K183">
        <v>9504</v>
      </c>
      <c r="L183" t="s">
        <v>600</v>
      </c>
      <c r="M183" t="s">
        <v>282</v>
      </c>
      <c r="N183">
        <v>10</v>
      </c>
      <c r="O183" t="s">
        <v>250</v>
      </c>
      <c r="P183">
        <v>90</v>
      </c>
      <c r="R183" t="str">
        <f ca="1">IFERROR(IF(VLOOKUP(K183,A:F,6,FALSE)&lt;&gt;P183,"INSERT INTO playerTPEHistory ( playerID, playerTPE, historyDate, historySeason, historyWeek, historyLeague ) VALUES ("&amp;K183&amp;", "&amp;F183&amp;", '"&amp;TEXT(NOW(),"yyyy-mm-dd")&amp;"', "&amp;$E$1&amp;", "&amp;$G$1&amp;", '"&amp;VLOOKUP(E183,Index!B:C,2,FALSE)&amp;" ' );",""),"")</f>
        <v/>
      </c>
    </row>
    <row r="184" spans="1:18" x14ac:dyDescent="0.25">
      <c r="A184">
        <v>9325</v>
      </c>
      <c r="B184" t="s">
        <v>602</v>
      </c>
      <c r="C184" t="s">
        <v>281</v>
      </c>
      <c r="D184" t="s">
        <v>423</v>
      </c>
      <c r="E184" t="s">
        <v>250</v>
      </c>
      <c r="F184">
        <v>90</v>
      </c>
      <c r="H184" s="2">
        <f>COUNTIF(K:K,A184)</f>
        <v>1</v>
      </c>
      <c r="I184" s="2">
        <f t="shared" si="2"/>
        <v>0</v>
      </c>
      <c r="K184">
        <v>9364</v>
      </c>
      <c r="L184" t="s">
        <v>601</v>
      </c>
      <c r="M184" t="s">
        <v>283</v>
      </c>
      <c r="N184">
        <v>10</v>
      </c>
      <c r="O184" t="s">
        <v>250</v>
      </c>
      <c r="P184">
        <v>358</v>
      </c>
      <c r="R184" t="str">
        <f ca="1">IFERROR(IF(VLOOKUP(K184,A:F,6,FALSE)&lt;&gt;P184,"INSERT INTO playerTPEHistory ( playerID, playerTPE, historyDate, historySeason, historyWeek, historyLeague ) VALUES ("&amp;K184&amp;", "&amp;F184&amp;", '"&amp;TEXT(NOW(),"yyyy-mm-dd")&amp;"', "&amp;$E$1&amp;", "&amp;$G$1&amp;", '"&amp;VLOOKUP(E184,Index!B:C,2,FALSE)&amp;" ' );",""),"")</f>
        <v/>
      </c>
    </row>
    <row r="185" spans="1:18" x14ac:dyDescent="0.25">
      <c r="A185">
        <v>9321</v>
      </c>
      <c r="B185" t="s">
        <v>603</v>
      </c>
      <c r="C185" t="s">
        <v>281</v>
      </c>
      <c r="D185" t="s">
        <v>423</v>
      </c>
      <c r="E185" t="s">
        <v>250</v>
      </c>
      <c r="F185">
        <v>108</v>
      </c>
      <c r="H185" s="2">
        <f>COUNTIF(K:K,A185)</f>
        <v>1</v>
      </c>
      <c r="I185" s="2">
        <f t="shared" si="2"/>
        <v>0</v>
      </c>
      <c r="K185">
        <v>9325</v>
      </c>
      <c r="L185" t="s">
        <v>602</v>
      </c>
      <c r="M185" t="s">
        <v>281</v>
      </c>
      <c r="N185">
        <v>10</v>
      </c>
      <c r="O185" t="s">
        <v>250</v>
      </c>
      <c r="P185">
        <v>90</v>
      </c>
      <c r="R185" t="str">
        <f ca="1">IFERROR(IF(VLOOKUP(K185,A:F,6,FALSE)&lt;&gt;P185,"INSERT INTO playerTPEHistory ( playerID, playerTPE, historyDate, historySeason, historyWeek, historyLeague ) VALUES ("&amp;K185&amp;", "&amp;F185&amp;", '"&amp;TEXT(NOW(),"yyyy-mm-dd")&amp;"', "&amp;$E$1&amp;", "&amp;$G$1&amp;", '"&amp;VLOOKUP(E185,Index!B:C,2,FALSE)&amp;" ' );",""),"")</f>
        <v/>
      </c>
    </row>
    <row r="186" spans="1:18" x14ac:dyDescent="0.25">
      <c r="A186">
        <v>9228</v>
      </c>
      <c r="B186" t="s">
        <v>604</v>
      </c>
      <c r="C186" t="s">
        <v>276</v>
      </c>
      <c r="D186" t="s">
        <v>423</v>
      </c>
      <c r="E186" t="s">
        <v>250</v>
      </c>
      <c r="F186">
        <v>50</v>
      </c>
      <c r="H186" s="2">
        <f>COUNTIF(K:K,A186)</f>
        <v>1</v>
      </c>
      <c r="I186" s="2">
        <f t="shared" si="2"/>
        <v>0</v>
      </c>
      <c r="K186">
        <v>9321</v>
      </c>
      <c r="L186" t="s">
        <v>603</v>
      </c>
      <c r="M186" t="s">
        <v>281</v>
      </c>
      <c r="N186">
        <v>10</v>
      </c>
      <c r="O186" t="s">
        <v>250</v>
      </c>
      <c r="P186">
        <v>108</v>
      </c>
      <c r="R186" t="str">
        <f ca="1">IFERROR(IF(VLOOKUP(K186,A:F,6,FALSE)&lt;&gt;P186,"INSERT INTO playerTPEHistory ( playerID, playerTPE, historyDate, historySeason, historyWeek, historyLeague ) VALUES ("&amp;K186&amp;", "&amp;F186&amp;", '"&amp;TEXT(NOW(),"yyyy-mm-dd")&amp;"', "&amp;$E$1&amp;", "&amp;$G$1&amp;", '"&amp;VLOOKUP(E186,Index!B:C,2,FALSE)&amp;" ' );",""),"")</f>
        <v/>
      </c>
    </row>
    <row r="187" spans="1:18" x14ac:dyDescent="0.25">
      <c r="A187">
        <v>9132</v>
      </c>
      <c r="B187" t="s">
        <v>605</v>
      </c>
      <c r="C187" t="s">
        <v>281</v>
      </c>
      <c r="D187" t="s">
        <v>429</v>
      </c>
      <c r="E187" t="s">
        <v>250</v>
      </c>
      <c r="F187">
        <v>57</v>
      </c>
      <c r="H187" s="2">
        <f>COUNTIF(K:K,A187)</f>
        <v>1</v>
      </c>
      <c r="I187" s="2">
        <f t="shared" si="2"/>
        <v>0</v>
      </c>
      <c r="K187">
        <v>9228</v>
      </c>
      <c r="L187" t="s">
        <v>604</v>
      </c>
      <c r="M187" t="s">
        <v>276</v>
      </c>
      <c r="N187">
        <v>10</v>
      </c>
      <c r="O187" t="s">
        <v>250</v>
      </c>
      <c r="P187">
        <v>50</v>
      </c>
      <c r="R187" t="str">
        <f ca="1">IFERROR(IF(VLOOKUP(K187,A:F,6,FALSE)&lt;&gt;P187,"INSERT INTO playerTPEHistory ( playerID, playerTPE, historyDate, historySeason, historyWeek, historyLeague ) VALUES ("&amp;K187&amp;", "&amp;F187&amp;", '"&amp;TEXT(NOW(),"yyyy-mm-dd")&amp;"', "&amp;$E$1&amp;", "&amp;$G$1&amp;", '"&amp;VLOOKUP(E187,Index!B:C,2,FALSE)&amp;" ' );",""),"")</f>
        <v/>
      </c>
    </row>
    <row r="188" spans="1:18" x14ac:dyDescent="0.25">
      <c r="A188">
        <v>9110</v>
      </c>
      <c r="B188" t="s">
        <v>606</v>
      </c>
      <c r="C188" t="s">
        <v>277</v>
      </c>
      <c r="D188" t="s">
        <v>429</v>
      </c>
      <c r="E188" t="s">
        <v>250</v>
      </c>
      <c r="F188">
        <v>57</v>
      </c>
      <c r="H188" s="2">
        <f>COUNTIF(K:K,A188)</f>
        <v>1</v>
      </c>
      <c r="I188" s="2">
        <f t="shared" si="2"/>
        <v>0</v>
      </c>
      <c r="K188">
        <v>9132</v>
      </c>
      <c r="L188" t="s">
        <v>605</v>
      </c>
      <c r="M188" t="s">
        <v>281</v>
      </c>
      <c r="N188">
        <v>9</v>
      </c>
      <c r="O188" t="s">
        <v>250</v>
      </c>
      <c r="P188">
        <v>57</v>
      </c>
      <c r="R188" t="str">
        <f ca="1">IFERROR(IF(VLOOKUP(K188,A:F,6,FALSE)&lt;&gt;P188,"INSERT INTO playerTPEHistory ( playerID, playerTPE, historyDate, historySeason, historyWeek, historyLeague ) VALUES ("&amp;K188&amp;", "&amp;F188&amp;", '"&amp;TEXT(NOW(),"yyyy-mm-dd")&amp;"', "&amp;$E$1&amp;", "&amp;$G$1&amp;", '"&amp;VLOOKUP(E188,Index!B:C,2,FALSE)&amp;" ' );",""),"")</f>
        <v/>
      </c>
    </row>
    <row r="189" spans="1:18" x14ac:dyDescent="0.25">
      <c r="A189">
        <v>9076</v>
      </c>
      <c r="B189" t="s">
        <v>607</v>
      </c>
      <c r="C189" t="s">
        <v>283</v>
      </c>
      <c r="D189" t="s">
        <v>429</v>
      </c>
      <c r="E189" t="s">
        <v>250</v>
      </c>
      <c r="F189">
        <v>381</v>
      </c>
      <c r="H189" s="2">
        <f>COUNTIF(K:K,A189)</f>
        <v>1</v>
      </c>
      <c r="I189" s="2">
        <f t="shared" si="2"/>
        <v>0</v>
      </c>
      <c r="K189">
        <v>9110</v>
      </c>
      <c r="L189" t="s">
        <v>606</v>
      </c>
      <c r="M189" t="s">
        <v>277</v>
      </c>
      <c r="N189">
        <v>9</v>
      </c>
      <c r="O189" t="s">
        <v>250</v>
      </c>
      <c r="P189">
        <v>57</v>
      </c>
      <c r="R189" t="str">
        <f ca="1">IFERROR(IF(VLOOKUP(K189,A:F,6,FALSE)&lt;&gt;P189,"INSERT INTO playerTPEHistory ( playerID, playerTPE, historyDate, historySeason, historyWeek, historyLeague ) VALUES ("&amp;K189&amp;", "&amp;F189&amp;", '"&amp;TEXT(NOW(),"yyyy-mm-dd")&amp;"', "&amp;$E$1&amp;", "&amp;$G$1&amp;", '"&amp;VLOOKUP(E189,Index!B:C,2,FALSE)&amp;" ' );",""),"")</f>
        <v/>
      </c>
    </row>
    <row r="190" spans="1:18" x14ac:dyDescent="0.25">
      <c r="A190">
        <v>8859</v>
      </c>
      <c r="B190" t="s">
        <v>608</v>
      </c>
      <c r="C190" t="s">
        <v>277</v>
      </c>
      <c r="D190" t="s">
        <v>429</v>
      </c>
      <c r="E190" t="s">
        <v>250</v>
      </c>
      <c r="F190">
        <v>60</v>
      </c>
      <c r="H190" s="2">
        <f>COUNTIF(K:K,A190)</f>
        <v>1</v>
      </c>
      <c r="I190" s="2">
        <f t="shared" si="2"/>
        <v>0</v>
      </c>
      <c r="K190">
        <v>9076</v>
      </c>
      <c r="L190" t="s">
        <v>607</v>
      </c>
      <c r="M190" t="s">
        <v>283</v>
      </c>
      <c r="N190">
        <v>9</v>
      </c>
      <c r="O190" t="s">
        <v>250</v>
      </c>
      <c r="P190">
        <v>381</v>
      </c>
      <c r="R190" t="str">
        <f ca="1">IFERROR(IF(VLOOKUP(K190,A:F,6,FALSE)&lt;&gt;P190,"INSERT INTO playerTPEHistory ( playerID, playerTPE, historyDate, historySeason, historyWeek, historyLeague ) VALUES ("&amp;K190&amp;", "&amp;F190&amp;", '"&amp;TEXT(NOW(),"yyyy-mm-dd")&amp;"', "&amp;$E$1&amp;", "&amp;$G$1&amp;", '"&amp;VLOOKUP(E190,Index!B:C,2,FALSE)&amp;" ' );",""),"")</f>
        <v/>
      </c>
    </row>
    <row r="191" spans="1:18" x14ac:dyDescent="0.25">
      <c r="A191">
        <v>8857</v>
      </c>
      <c r="B191" t="s">
        <v>609</v>
      </c>
      <c r="C191" t="s">
        <v>282</v>
      </c>
      <c r="D191" t="s">
        <v>429</v>
      </c>
      <c r="E191" t="s">
        <v>250</v>
      </c>
      <c r="F191">
        <v>169</v>
      </c>
      <c r="H191" s="2">
        <f>COUNTIF(K:K,A191)</f>
        <v>1</v>
      </c>
      <c r="I191" s="2">
        <f t="shared" si="2"/>
        <v>0</v>
      </c>
      <c r="K191">
        <v>8859</v>
      </c>
      <c r="L191" t="s">
        <v>608</v>
      </c>
      <c r="M191" t="s">
        <v>277</v>
      </c>
      <c r="N191">
        <v>9</v>
      </c>
      <c r="O191" t="s">
        <v>250</v>
      </c>
      <c r="P191">
        <v>60</v>
      </c>
      <c r="R191" t="str">
        <f ca="1">IFERROR(IF(VLOOKUP(K191,A:F,6,FALSE)&lt;&gt;P191,"INSERT INTO playerTPEHistory ( playerID, playerTPE, historyDate, historySeason, historyWeek, historyLeague ) VALUES ("&amp;K191&amp;", "&amp;F191&amp;", '"&amp;TEXT(NOW(),"yyyy-mm-dd")&amp;"', "&amp;$E$1&amp;", "&amp;$G$1&amp;", '"&amp;VLOOKUP(E191,Index!B:C,2,FALSE)&amp;" ' );",""),"")</f>
        <v/>
      </c>
    </row>
    <row r="192" spans="1:18" x14ac:dyDescent="0.25">
      <c r="A192">
        <v>8721</v>
      </c>
      <c r="B192" t="s">
        <v>610</v>
      </c>
      <c r="C192" t="s">
        <v>281</v>
      </c>
      <c r="D192" t="s">
        <v>429</v>
      </c>
      <c r="E192" t="s">
        <v>250</v>
      </c>
      <c r="F192">
        <v>79</v>
      </c>
      <c r="H192" s="2">
        <f>COUNTIF(K:K,A192)</f>
        <v>1</v>
      </c>
      <c r="I192" s="2">
        <f t="shared" si="2"/>
        <v>0</v>
      </c>
      <c r="K192">
        <v>8857</v>
      </c>
      <c r="L192" t="s">
        <v>609</v>
      </c>
      <c r="M192" t="s">
        <v>282</v>
      </c>
      <c r="N192">
        <v>9</v>
      </c>
      <c r="O192" t="s">
        <v>250</v>
      </c>
      <c r="P192">
        <v>169</v>
      </c>
      <c r="R192" t="str">
        <f ca="1">IFERROR(IF(VLOOKUP(K192,A:F,6,FALSE)&lt;&gt;P192,"INSERT INTO playerTPEHistory ( playerID, playerTPE, historyDate, historySeason, historyWeek, historyLeague ) VALUES ("&amp;K192&amp;", "&amp;F192&amp;", '"&amp;TEXT(NOW(),"yyyy-mm-dd")&amp;"', "&amp;$E$1&amp;", "&amp;$G$1&amp;", '"&amp;VLOOKUP(E192,Index!B:C,2,FALSE)&amp;" ' );",""),"")</f>
        <v/>
      </c>
    </row>
    <row r="193" spans="1:18" x14ac:dyDescent="0.25">
      <c r="A193">
        <v>8693</v>
      </c>
      <c r="B193" t="s">
        <v>611</v>
      </c>
      <c r="C193" t="s">
        <v>281</v>
      </c>
      <c r="D193" t="s">
        <v>429</v>
      </c>
      <c r="E193" t="s">
        <v>250</v>
      </c>
      <c r="F193">
        <v>71</v>
      </c>
      <c r="H193" s="2">
        <f>COUNTIF(K:K,A193)</f>
        <v>1</v>
      </c>
      <c r="I193" s="2">
        <f t="shared" si="2"/>
        <v>0</v>
      </c>
      <c r="K193">
        <v>8721</v>
      </c>
      <c r="L193" t="s">
        <v>610</v>
      </c>
      <c r="M193" t="s">
        <v>281</v>
      </c>
      <c r="N193">
        <v>9</v>
      </c>
      <c r="O193" t="s">
        <v>250</v>
      </c>
      <c r="P193">
        <v>79</v>
      </c>
      <c r="R193" t="str">
        <f ca="1">IFERROR(IF(VLOOKUP(K193,A:F,6,FALSE)&lt;&gt;P193,"INSERT INTO playerTPEHistory ( playerID, playerTPE, historyDate, historySeason, historyWeek, historyLeague ) VALUES ("&amp;K193&amp;", "&amp;F193&amp;", '"&amp;TEXT(NOW(),"yyyy-mm-dd")&amp;"', "&amp;$E$1&amp;", "&amp;$G$1&amp;", '"&amp;VLOOKUP(E193,Index!B:C,2,FALSE)&amp;" ' );",""),"")</f>
        <v/>
      </c>
    </row>
    <row r="194" spans="1:18" x14ac:dyDescent="0.25">
      <c r="A194">
        <v>8634</v>
      </c>
      <c r="B194" t="s">
        <v>612</v>
      </c>
      <c r="C194" t="s">
        <v>274</v>
      </c>
      <c r="D194" t="s">
        <v>429</v>
      </c>
      <c r="E194" t="s">
        <v>250</v>
      </c>
      <c r="F194">
        <v>116</v>
      </c>
      <c r="H194" s="2">
        <f>COUNTIF(K:K,A194)</f>
        <v>1</v>
      </c>
      <c r="I194" s="2">
        <f t="shared" si="2"/>
        <v>0</v>
      </c>
      <c r="K194">
        <v>8693</v>
      </c>
      <c r="L194" t="s">
        <v>611</v>
      </c>
      <c r="M194" t="s">
        <v>281</v>
      </c>
      <c r="N194">
        <v>9</v>
      </c>
      <c r="O194" t="s">
        <v>250</v>
      </c>
      <c r="P194">
        <v>71</v>
      </c>
      <c r="R194" t="str">
        <f ca="1">IFERROR(IF(VLOOKUP(K194,A:F,6,FALSE)&lt;&gt;P194,"INSERT INTO playerTPEHistory ( playerID, playerTPE, historyDate, historySeason, historyWeek, historyLeague ) VALUES ("&amp;K194&amp;", "&amp;F194&amp;", '"&amp;TEXT(NOW(),"yyyy-mm-dd")&amp;"', "&amp;$E$1&amp;", "&amp;$G$1&amp;", '"&amp;VLOOKUP(E194,Index!B:C,2,FALSE)&amp;" ' );",""),"")</f>
        <v/>
      </c>
    </row>
    <row r="195" spans="1:18" x14ac:dyDescent="0.25">
      <c r="A195">
        <v>8613</v>
      </c>
      <c r="B195" t="s">
        <v>613</v>
      </c>
      <c r="C195" t="s">
        <v>281</v>
      </c>
      <c r="D195" t="s">
        <v>429</v>
      </c>
      <c r="E195" t="s">
        <v>250</v>
      </c>
      <c r="F195">
        <v>50</v>
      </c>
      <c r="H195" s="2">
        <f>COUNTIF(K:K,A195)</f>
        <v>1</v>
      </c>
      <c r="I195" s="2">
        <f t="shared" ref="I195:I258" si="3">IF(COUNTIF(A:A,K195)=0,1,0)</f>
        <v>0</v>
      </c>
      <c r="K195">
        <v>8634</v>
      </c>
      <c r="L195" t="s">
        <v>612</v>
      </c>
      <c r="M195" t="s">
        <v>274</v>
      </c>
      <c r="N195">
        <v>9</v>
      </c>
      <c r="O195" t="s">
        <v>250</v>
      </c>
      <c r="P195">
        <v>116</v>
      </c>
      <c r="R195" t="str">
        <f ca="1">IFERROR(IF(VLOOKUP(K195,A:F,6,FALSE)&lt;&gt;P195,"INSERT INTO playerTPEHistory ( playerID, playerTPE, historyDate, historySeason, historyWeek, historyLeague ) VALUES ("&amp;K195&amp;", "&amp;F195&amp;", '"&amp;TEXT(NOW(),"yyyy-mm-dd")&amp;"', "&amp;$E$1&amp;", "&amp;$G$1&amp;", '"&amp;VLOOKUP(E195,Index!B:C,2,FALSE)&amp;" ' );",""),"")</f>
        <v/>
      </c>
    </row>
    <row r="196" spans="1:18" x14ac:dyDescent="0.25">
      <c r="A196">
        <v>8344</v>
      </c>
      <c r="B196" t="s">
        <v>614</v>
      </c>
      <c r="C196" t="s">
        <v>274</v>
      </c>
      <c r="D196" t="s">
        <v>433</v>
      </c>
      <c r="E196" t="s">
        <v>250</v>
      </c>
      <c r="F196">
        <v>54</v>
      </c>
      <c r="H196" s="2">
        <f>COUNTIF(K:K,A196)</f>
        <v>1</v>
      </c>
      <c r="I196" s="2">
        <f t="shared" si="3"/>
        <v>0</v>
      </c>
      <c r="K196">
        <v>8613</v>
      </c>
      <c r="L196" t="s">
        <v>613</v>
      </c>
      <c r="M196" t="s">
        <v>281</v>
      </c>
      <c r="N196">
        <v>9</v>
      </c>
      <c r="O196" t="s">
        <v>250</v>
      </c>
      <c r="P196">
        <v>50</v>
      </c>
      <c r="R196" t="str">
        <f ca="1">IFERROR(IF(VLOOKUP(K196,A:F,6,FALSE)&lt;&gt;P196,"INSERT INTO playerTPEHistory ( playerID, playerTPE, historyDate, historySeason, historyWeek, historyLeague ) VALUES ("&amp;K196&amp;", "&amp;F196&amp;", '"&amp;TEXT(NOW(),"yyyy-mm-dd")&amp;"', "&amp;$E$1&amp;", "&amp;$G$1&amp;", '"&amp;VLOOKUP(E196,Index!B:C,2,FALSE)&amp;" ' );",""),"")</f>
        <v/>
      </c>
    </row>
    <row r="197" spans="1:18" x14ac:dyDescent="0.25">
      <c r="A197">
        <v>8297</v>
      </c>
      <c r="B197" t="s">
        <v>615</v>
      </c>
      <c r="C197" t="s">
        <v>278</v>
      </c>
      <c r="D197" t="s">
        <v>433</v>
      </c>
      <c r="E197" t="s">
        <v>250</v>
      </c>
      <c r="F197">
        <v>81</v>
      </c>
      <c r="H197" s="2">
        <f>COUNTIF(K:K,A197)</f>
        <v>1</v>
      </c>
      <c r="I197" s="2">
        <f t="shared" si="3"/>
        <v>0</v>
      </c>
      <c r="K197">
        <v>8344</v>
      </c>
      <c r="L197" t="s">
        <v>614</v>
      </c>
      <c r="M197" t="s">
        <v>274</v>
      </c>
      <c r="N197">
        <v>8</v>
      </c>
      <c r="O197" t="s">
        <v>250</v>
      </c>
      <c r="P197">
        <v>54</v>
      </c>
      <c r="R197" t="str">
        <f ca="1">IFERROR(IF(VLOOKUP(K197,A:F,6,FALSE)&lt;&gt;P197,"INSERT INTO playerTPEHistory ( playerID, playerTPE, historyDate, historySeason, historyWeek, historyLeague ) VALUES ("&amp;K197&amp;", "&amp;F197&amp;", '"&amp;TEXT(NOW(),"yyyy-mm-dd")&amp;"', "&amp;$E$1&amp;", "&amp;$G$1&amp;", '"&amp;VLOOKUP(E197,Index!B:C,2,FALSE)&amp;" ' );",""),"")</f>
        <v/>
      </c>
    </row>
    <row r="198" spans="1:18" x14ac:dyDescent="0.25">
      <c r="A198">
        <v>8256</v>
      </c>
      <c r="B198" t="s">
        <v>616</v>
      </c>
      <c r="C198" t="s">
        <v>282</v>
      </c>
      <c r="D198" t="s">
        <v>433</v>
      </c>
      <c r="E198" t="s">
        <v>250</v>
      </c>
      <c r="F198">
        <v>50</v>
      </c>
      <c r="H198" s="2">
        <f>COUNTIF(K:K,A198)</f>
        <v>1</v>
      </c>
      <c r="I198" s="2">
        <f t="shared" si="3"/>
        <v>0</v>
      </c>
      <c r="K198">
        <v>8297</v>
      </c>
      <c r="L198" t="s">
        <v>615</v>
      </c>
      <c r="M198" t="s">
        <v>278</v>
      </c>
      <c r="N198">
        <v>8</v>
      </c>
      <c r="O198" t="s">
        <v>250</v>
      </c>
      <c r="P198">
        <v>81</v>
      </c>
      <c r="R198" t="str">
        <f ca="1">IFERROR(IF(VLOOKUP(K198,A:F,6,FALSE)&lt;&gt;P198,"INSERT INTO playerTPEHistory ( playerID, playerTPE, historyDate, historySeason, historyWeek, historyLeague ) VALUES ("&amp;K198&amp;", "&amp;F198&amp;", '"&amp;TEXT(NOW(),"yyyy-mm-dd")&amp;"', "&amp;$E$1&amp;", "&amp;$G$1&amp;", '"&amp;VLOOKUP(E198,Index!B:C,2,FALSE)&amp;" ' );",""),"")</f>
        <v/>
      </c>
    </row>
    <row r="199" spans="1:18" x14ac:dyDescent="0.25">
      <c r="A199">
        <v>8249</v>
      </c>
      <c r="B199" t="s">
        <v>617</v>
      </c>
      <c r="C199" t="s">
        <v>275</v>
      </c>
      <c r="D199" t="s">
        <v>433</v>
      </c>
      <c r="E199" t="s">
        <v>250</v>
      </c>
      <c r="F199">
        <v>50</v>
      </c>
      <c r="H199" s="2">
        <f>COUNTIF(K:K,A199)</f>
        <v>1</v>
      </c>
      <c r="I199" s="2">
        <f t="shared" si="3"/>
        <v>0</v>
      </c>
      <c r="K199">
        <v>8256</v>
      </c>
      <c r="L199" t="s">
        <v>616</v>
      </c>
      <c r="M199" t="s">
        <v>282</v>
      </c>
      <c r="N199">
        <v>8</v>
      </c>
      <c r="O199" t="s">
        <v>250</v>
      </c>
      <c r="P199">
        <v>50</v>
      </c>
      <c r="R199" t="str">
        <f ca="1">IFERROR(IF(VLOOKUP(K199,A:F,6,FALSE)&lt;&gt;P199,"INSERT INTO playerTPEHistory ( playerID, playerTPE, historyDate, historySeason, historyWeek, historyLeague ) VALUES ("&amp;K199&amp;", "&amp;F199&amp;", '"&amp;TEXT(NOW(),"yyyy-mm-dd")&amp;"', "&amp;$E$1&amp;", "&amp;$G$1&amp;", '"&amp;VLOOKUP(E199,Index!B:C,2,FALSE)&amp;" ' );",""),"")</f>
        <v/>
      </c>
    </row>
    <row r="200" spans="1:18" x14ac:dyDescent="0.25">
      <c r="A200">
        <v>8231</v>
      </c>
      <c r="B200" t="s">
        <v>618</v>
      </c>
      <c r="C200" t="s">
        <v>282</v>
      </c>
      <c r="D200" t="s">
        <v>433</v>
      </c>
      <c r="E200" t="s">
        <v>250</v>
      </c>
      <c r="F200">
        <v>124</v>
      </c>
      <c r="H200" s="2">
        <f>COUNTIF(K:K,A200)</f>
        <v>1</v>
      </c>
      <c r="I200" s="2">
        <f t="shared" si="3"/>
        <v>0</v>
      </c>
      <c r="K200">
        <v>8249</v>
      </c>
      <c r="L200" t="s">
        <v>617</v>
      </c>
      <c r="M200" t="s">
        <v>275</v>
      </c>
      <c r="N200">
        <v>8</v>
      </c>
      <c r="O200" t="s">
        <v>250</v>
      </c>
      <c r="P200">
        <v>50</v>
      </c>
      <c r="R200" t="str">
        <f ca="1">IFERROR(IF(VLOOKUP(K200,A:F,6,FALSE)&lt;&gt;P200,"INSERT INTO playerTPEHistory ( playerID, playerTPE, historyDate, historySeason, historyWeek, historyLeague ) VALUES ("&amp;K200&amp;", "&amp;F200&amp;", '"&amp;TEXT(NOW(),"yyyy-mm-dd")&amp;"', "&amp;$E$1&amp;", "&amp;$G$1&amp;", '"&amp;VLOOKUP(E200,Index!B:C,2,FALSE)&amp;" ' );",""),"")</f>
        <v/>
      </c>
    </row>
    <row r="201" spans="1:18" x14ac:dyDescent="0.25">
      <c r="A201">
        <v>8151</v>
      </c>
      <c r="B201" t="s">
        <v>619</v>
      </c>
      <c r="C201" t="s">
        <v>274</v>
      </c>
      <c r="D201" t="s">
        <v>433</v>
      </c>
      <c r="E201" t="s">
        <v>250</v>
      </c>
      <c r="F201">
        <v>55</v>
      </c>
      <c r="H201" s="2">
        <f>COUNTIF(K:K,A201)</f>
        <v>1</v>
      </c>
      <c r="I201" s="2">
        <f t="shared" si="3"/>
        <v>0</v>
      </c>
      <c r="K201">
        <v>8231</v>
      </c>
      <c r="L201" t="s">
        <v>618</v>
      </c>
      <c r="M201" t="s">
        <v>282</v>
      </c>
      <c r="N201">
        <v>8</v>
      </c>
      <c r="O201" t="s">
        <v>250</v>
      </c>
      <c r="P201">
        <v>124</v>
      </c>
      <c r="R201" t="str">
        <f ca="1">IFERROR(IF(VLOOKUP(K201,A:F,6,FALSE)&lt;&gt;P201,"INSERT INTO playerTPEHistory ( playerID, playerTPE, historyDate, historySeason, historyWeek, historyLeague ) VALUES ("&amp;K201&amp;", "&amp;F201&amp;", '"&amp;TEXT(NOW(),"yyyy-mm-dd")&amp;"', "&amp;$E$1&amp;", "&amp;$G$1&amp;", '"&amp;VLOOKUP(E201,Index!B:C,2,FALSE)&amp;" ' );",""),"")</f>
        <v/>
      </c>
    </row>
    <row r="202" spans="1:18" x14ac:dyDescent="0.25">
      <c r="A202">
        <v>12675</v>
      </c>
      <c r="B202" t="s">
        <v>620</v>
      </c>
      <c r="C202" t="s">
        <v>282</v>
      </c>
      <c r="D202" t="s">
        <v>621</v>
      </c>
      <c r="E202" t="s">
        <v>251</v>
      </c>
      <c r="F202">
        <v>75</v>
      </c>
      <c r="H202" s="2">
        <f>COUNTIF(K:K,A202)</f>
        <v>1</v>
      </c>
      <c r="I202" s="2">
        <f t="shared" si="3"/>
        <v>0</v>
      </c>
      <c r="K202">
        <v>8151</v>
      </c>
      <c r="L202" t="s">
        <v>619</v>
      </c>
      <c r="M202" t="s">
        <v>274</v>
      </c>
      <c r="N202">
        <v>8</v>
      </c>
      <c r="O202" t="s">
        <v>250</v>
      </c>
      <c r="P202">
        <v>55</v>
      </c>
      <c r="R202" t="str">
        <f ca="1">IFERROR(IF(VLOOKUP(K202,A:F,6,FALSE)&lt;&gt;P202,"INSERT INTO playerTPEHistory ( playerID, playerTPE, historyDate, historySeason, historyWeek, historyLeague ) VALUES ("&amp;K202&amp;", "&amp;F202&amp;", '"&amp;TEXT(NOW(),"yyyy-mm-dd")&amp;"', "&amp;$E$1&amp;", "&amp;$G$1&amp;", '"&amp;VLOOKUP(E202,Index!B:C,2,FALSE)&amp;" ' );",""),"")</f>
        <v/>
      </c>
    </row>
    <row r="203" spans="1:18" x14ac:dyDescent="0.25">
      <c r="A203">
        <v>12518</v>
      </c>
      <c r="B203" t="s">
        <v>622</v>
      </c>
      <c r="C203" t="s">
        <v>278</v>
      </c>
      <c r="D203" t="s">
        <v>621</v>
      </c>
      <c r="E203" t="s">
        <v>251</v>
      </c>
      <c r="F203">
        <v>106</v>
      </c>
      <c r="H203" s="2">
        <f>COUNTIF(K:K,A203)</f>
        <v>1</v>
      </c>
      <c r="I203" s="2">
        <f t="shared" si="3"/>
        <v>0</v>
      </c>
      <c r="K203">
        <v>12675</v>
      </c>
      <c r="L203" t="s">
        <v>620</v>
      </c>
      <c r="M203" t="s">
        <v>282</v>
      </c>
      <c r="N203">
        <v>15</v>
      </c>
      <c r="O203" t="s">
        <v>251</v>
      </c>
      <c r="P203">
        <v>50</v>
      </c>
      <c r="R203" t="str">
        <f ca="1">IFERROR(IF(VLOOKUP(K203,A:F,6,FALSE)&lt;&gt;P203,"INSERT INTO playerTPEHistory ( playerID, playerTPE, historyDate, historySeason, historyWeek, historyLeague ) VALUES ("&amp;K203&amp;", "&amp;F203&amp;", '"&amp;TEXT(NOW(),"yyyy-mm-dd")&amp;"', "&amp;$E$1&amp;", "&amp;$G$1&amp;", '"&amp;VLOOKUP(E203,Index!B:C,2,FALSE)&amp;" ' );",""),"")</f>
        <v>INSERT INTO playerTPEHistory ( playerID, playerTPE, historyDate, historySeason, historyWeek, historyLeague ) VALUES (12675, 106, '2019-04-01', 14, 4, 'DSFL ' );</v>
      </c>
    </row>
    <row r="204" spans="1:18" x14ac:dyDescent="0.25">
      <c r="A204">
        <v>12471</v>
      </c>
      <c r="B204" t="s">
        <v>623</v>
      </c>
      <c r="C204" t="s">
        <v>281</v>
      </c>
      <c r="D204" t="s">
        <v>621</v>
      </c>
      <c r="E204" t="s">
        <v>251</v>
      </c>
      <c r="F204">
        <v>66</v>
      </c>
      <c r="H204" s="2">
        <f>COUNTIF(K:K,A204)</f>
        <v>1</v>
      </c>
      <c r="I204" s="2">
        <f t="shared" si="3"/>
        <v>0</v>
      </c>
      <c r="K204">
        <v>12518</v>
      </c>
      <c r="L204" t="s">
        <v>622</v>
      </c>
      <c r="M204" t="s">
        <v>278</v>
      </c>
      <c r="N204">
        <v>15</v>
      </c>
      <c r="O204" t="s">
        <v>251</v>
      </c>
      <c r="P204">
        <v>106</v>
      </c>
      <c r="R204" t="str">
        <f ca="1">IFERROR(IF(VLOOKUP(K204,A:F,6,FALSE)&lt;&gt;P204,"INSERT INTO playerTPEHistory ( playerID, playerTPE, historyDate, historySeason, historyWeek, historyLeague ) VALUES ("&amp;K204&amp;", "&amp;F204&amp;", '"&amp;TEXT(NOW(),"yyyy-mm-dd")&amp;"', "&amp;$E$1&amp;", "&amp;$G$1&amp;", '"&amp;VLOOKUP(E204,Index!B:C,2,FALSE)&amp;" ' );",""),"")</f>
        <v/>
      </c>
    </row>
    <row r="205" spans="1:18" x14ac:dyDescent="0.25">
      <c r="A205">
        <v>12348</v>
      </c>
      <c r="B205" t="s">
        <v>624</v>
      </c>
      <c r="C205" t="s">
        <v>282</v>
      </c>
      <c r="D205" t="s">
        <v>621</v>
      </c>
      <c r="E205" t="s">
        <v>251</v>
      </c>
      <c r="F205">
        <v>82</v>
      </c>
      <c r="H205" s="2">
        <f>COUNTIF(K:K,A205)</f>
        <v>1</v>
      </c>
      <c r="I205" s="2">
        <f t="shared" si="3"/>
        <v>0</v>
      </c>
      <c r="K205">
        <v>12471</v>
      </c>
      <c r="L205" t="s">
        <v>623</v>
      </c>
      <c r="M205" t="s">
        <v>281</v>
      </c>
      <c r="N205">
        <v>15</v>
      </c>
      <c r="O205" t="s">
        <v>251</v>
      </c>
      <c r="P205">
        <v>66</v>
      </c>
      <c r="R205" t="str">
        <f ca="1">IFERROR(IF(VLOOKUP(K205,A:F,6,FALSE)&lt;&gt;P205,"INSERT INTO playerTPEHistory ( playerID, playerTPE, historyDate, historySeason, historyWeek, historyLeague ) VALUES ("&amp;K205&amp;", "&amp;F205&amp;", '"&amp;TEXT(NOW(),"yyyy-mm-dd")&amp;"', "&amp;$E$1&amp;", "&amp;$G$1&amp;", '"&amp;VLOOKUP(E205,Index!B:C,2,FALSE)&amp;" ' );",""),"")</f>
        <v/>
      </c>
    </row>
    <row r="206" spans="1:18" x14ac:dyDescent="0.25">
      <c r="A206">
        <v>12223</v>
      </c>
      <c r="B206" t="s">
        <v>625</v>
      </c>
      <c r="C206" t="s">
        <v>282</v>
      </c>
      <c r="D206" t="s">
        <v>621</v>
      </c>
      <c r="E206" t="s">
        <v>251</v>
      </c>
      <c r="F206">
        <v>50</v>
      </c>
      <c r="H206" s="2">
        <f>COUNTIF(K:K,A206)</f>
        <v>1</v>
      </c>
      <c r="I206" s="2">
        <f t="shared" si="3"/>
        <v>0</v>
      </c>
      <c r="K206">
        <v>12348</v>
      </c>
      <c r="L206" t="s">
        <v>624</v>
      </c>
      <c r="M206" t="s">
        <v>282</v>
      </c>
      <c r="N206">
        <v>15</v>
      </c>
      <c r="O206" t="s">
        <v>251</v>
      </c>
      <c r="P206">
        <v>82</v>
      </c>
      <c r="R206" t="str">
        <f ca="1">IFERROR(IF(VLOOKUP(K206,A:F,6,FALSE)&lt;&gt;P206,"INSERT INTO playerTPEHistory ( playerID, playerTPE, historyDate, historySeason, historyWeek, historyLeague ) VALUES ("&amp;K206&amp;", "&amp;F206&amp;", '"&amp;TEXT(NOW(),"yyyy-mm-dd")&amp;"', "&amp;$E$1&amp;", "&amp;$G$1&amp;", '"&amp;VLOOKUP(E206,Index!B:C,2,FALSE)&amp;" ' );",""),"")</f>
        <v/>
      </c>
    </row>
    <row r="207" spans="1:18" x14ac:dyDescent="0.25">
      <c r="A207">
        <v>12328</v>
      </c>
      <c r="B207" t="s">
        <v>626</v>
      </c>
      <c r="C207" t="s">
        <v>280</v>
      </c>
      <c r="D207" t="s">
        <v>621</v>
      </c>
      <c r="E207" t="s">
        <v>251</v>
      </c>
      <c r="F207">
        <v>155</v>
      </c>
      <c r="H207" s="2">
        <f>COUNTIF(K:K,A207)</f>
        <v>1</v>
      </c>
      <c r="I207" s="2">
        <f t="shared" si="3"/>
        <v>0</v>
      </c>
      <c r="K207">
        <v>12328</v>
      </c>
      <c r="L207" t="s">
        <v>626</v>
      </c>
      <c r="M207" t="s">
        <v>280</v>
      </c>
      <c r="N207">
        <v>15</v>
      </c>
      <c r="O207" t="s">
        <v>251</v>
      </c>
      <c r="P207">
        <v>144</v>
      </c>
      <c r="R207" t="str">
        <f ca="1">IFERROR(IF(VLOOKUP(K207,A:F,6,FALSE)&lt;&gt;P207,"INSERT INTO playerTPEHistory ( playerID, playerTPE, historyDate, historySeason, historyWeek, historyLeague ) VALUES ("&amp;K207&amp;", "&amp;F207&amp;", '"&amp;TEXT(NOW(),"yyyy-mm-dd")&amp;"', "&amp;$E$1&amp;", "&amp;$G$1&amp;", '"&amp;VLOOKUP(E207,Index!B:C,2,FALSE)&amp;" ' );",""),"")</f>
        <v>INSERT INTO playerTPEHistory ( playerID, playerTPE, historyDate, historySeason, historyWeek, historyLeague ) VALUES (12328, 155, '2019-04-01', 14, 4, 'DSFL ' );</v>
      </c>
    </row>
    <row r="208" spans="1:18" x14ac:dyDescent="0.25">
      <c r="A208">
        <v>12311</v>
      </c>
      <c r="B208" t="s">
        <v>627</v>
      </c>
      <c r="C208" t="s">
        <v>278</v>
      </c>
      <c r="D208" t="s">
        <v>621</v>
      </c>
      <c r="E208" t="s">
        <v>251</v>
      </c>
      <c r="F208">
        <v>50</v>
      </c>
      <c r="H208" s="2">
        <f>COUNTIF(K:K,A208)</f>
        <v>1</v>
      </c>
      <c r="I208" s="2">
        <f t="shared" si="3"/>
        <v>0</v>
      </c>
      <c r="K208">
        <v>12311</v>
      </c>
      <c r="L208" t="s">
        <v>627</v>
      </c>
      <c r="M208" t="s">
        <v>278</v>
      </c>
      <c r="N208">
        <v>15</v>
      </c>
      <c r="O208" t="s">
        <v>251</v>
      </c>
      <c r="P208">
        <v>50</v>
      </c>
      <c r="R208" t="str">
        <f ca="1">IFERROR(IF(VLOOKUP(K208,A:F,6,FALSE)&lt;&gt;P208,"INSERT INTO playerTPEHistory ( playerID, playerTPE, historyDate, historySeason, historyWeek, historyLeague ) VALUES ("&amp;K208&amp;", "&amp;F208&amp;", '"&amp;TEXT(NOW(),"yyyy-mm-dd")&amp;"', "&amp;$E$1&amp;", "&amp;$G$1&amp;", '"&amp;VLOOKUP(E208,Index!B:C,2,FALSE)&amp;" ' );",""),"")</f>
        <v/>
      </c>
    </row>
    <row r="209" spans="1:18" x14ac:dyDescent="0.25">
      <c r="A209">
        <v>12232</v>
      </c>
      <c r="B209" t="s">
        <v>628</v>
      </c>
      <c r="C209" t="s">
        <v>282</v>
      </c>
      <c r="D209" t="s">
        <v>621</v>
      </c>
      <c r="E209" t="s">
        <v>251</v>
      </c>
      <c r="F209">
        <v>158</v>
      </c>
      <c r="H209" s="2">
        <f>COUNTIF(K:K,A209)</f>
        <v>1</v>
      </c>
      <c r="I209" s="2">
        <f t="shared" si="3"/>
        <v>0</v>
      </c>
      <c r="K209">
        <v>12232</v>
      </c>
      <c r="L209" t="s">
        <v>628</v>
      </c>
      <c r="M209" t="s">
        <v>282</v>
      </c>
      <c r="N209">
        <v>15</v>
      </c>
      <c r="O209" t="s">
        <v>251</v>
      </c>
      <c r="P209">
        <v>145</v>
      </c>
      <c r="R209" t="str">
        <f ca="1">IFERROR(IF(VLOOKUP(K209,A:F,6,FALSE)&lt;&gt;P209,"INSERT INTO playerTPEHistory ( playerID, playerTPE, historyDate, historySeason, historyWeek, historyLeague ) VALUES ("&amp;K209&amp;", "&amp;F209&amp;", '"&amp;TEXT(NOW(),"yyyy-mm-dd")&amp;"', "&amp;$E$1&amp;", "&amp;$G$1&amp;", '"&amp;VLOOKUP(E209,Index!B:C,2,FALSE)&amp;" ' );",""),"")</f>
        <v>INSERT INTO playerTPEHistory ( playerID, playerTPE, historyDate, historySeason, historyWeek, historyLeague ) VALUES (12232, 158, '2019-04-01', 14, 4, 'DSFL ' );</v>
      </c>
    </row>
    <row r="210" spans="1:18" x14ac:dyDescent="0.25">
      <c r="A210">
        <v>12221</v>
      </c>
      <c r="B210" t="s">
        <v>629</v>
      </c>
      <c r="C210" t="s">
        <v>283</v>
      </c>
      <c r="D210" t="s">
        <v>621</v>
      </c>
      <c r="E210" t="s">
        <v>251</v>
      </c>
      <c r="F210">
        <v>69</v>
      </c>
      <c r="H210" s="2">
        <f>COUNTIF(K:K,A210)</f>
        <v>1</v>
      </c>
      <c r="I210" s="2">
        <f t="shared" si="3"/>
        <v>0</v>
      </c>
      <c r="K210">
        <v>12221</v>
      </c>
      <c r="L210" t="s">
        <v>629</v>
      </c>
      <c r="M210" t="s">
        <v>283</v>
      </c>
      <c r="N210">
        <v>15</v>
      </c>
      <c r="O210" t="s">
        <v>251</v>
      </c>
      <c r="P210">
        <v>69</v>
      </c>
      <c r="R210" t="str">
        <f ca="1">IFERROR(IF(VLOOKUP(K210,A:F,6,FALSE)&lt;&gt;P210,"INSERT INTO playerTPEHistory ( playerID, playerTPE, historyDate, historySeason, historyWeek, historyLeague ) VALUES ("&amp;K210&amp;", "&amp;F210&amp;", '"&amp;TEXT(NOW(),"yyyy-mm-dd")&amp;"', "&amp;$E$1&amp;", "&amp;$G$1&amp;", '"&amp;VLOOKUP(E210,Index!B:C,2,FALSE)&amp;" ' );",""),"")</f>
        <v/>
      </c>
    </row>
    <row r="211" spans="1:18" x14ac:dyDescent="0.25">
      <c r="A211">
        <v>12218</v>
      </c>
      <c r="B211" t="s">
        <v>630</v>
      </c>
      <c r="C211" t="s">
        <v>276</v>
      </c>
      <c r="D211" t="s">
        <v>621</v>
      </c>
      <c r="E211" t="s">
        <v>251</v>
      </c>
      <c r="F211">
        <v>52</v>
      </c>
      <c r="H211" s="2">
        <f>COUNTIF(K:K,A211)</f>
        <v>1</v>
      </c>
      <c r="I211" s="2">
        <f t="shared" si="3"/>
        <v>0</v>
      </c>
      <c r="K211">
        <v>12218</v>
      </c>
      <c r="L211" t="s">
        <v>630</v>
      </c>
      <c r="M211" t="s">
        <v>276</v>
      </c>
      <c r="N211">
        <v>15</v>
      </c>
      <c r="O211" t="s">
        <v>251</v>
      </c>
      <c r="P211">
        <v>52</v>
      </c>
      <c r="R211" t="str">
        <f ca="1">IFERROR(IF(VLOOKUP(K211,A:F,6,FALSE)&lt;&gt;P211,"INSERT INTO playerTPEHistory ( playerID, playerTPE, historyDate, historySeason, historyWeek, historyLeague ) VALUES ("&amp;K211&amp;", "&amp;F211&amp;", '"&amp;TEXT(NOW(),"yyyy-mm-dd")&amp;"', "&amp;$E$1&amp;", "&amp;$G$1&amp;", '"&amp;VLOOKUP(E211,Index!B:C,2,FALSE)&amp;" ' );",""),"")</f>
        <v/>
      </c>
    </row>
    <row r="212" spans="1:18" x14ac:dyDescent="0.25">
      <c r="A212">
        <v>12206</v>
      </c>
      <c r="B212" t="s">
        <v>631</v>
      </c>
      <c r="C212" t="s">
        <v>277</v>
      </c>
      <c r="D212" t="s">
        <v>621</v>
      </c>
      <c r="E212" t="s">
        <v>251</v>
      </c>
      <c r="F212">
        <v>50</v>
      </c>
      <c r="H212" s="2">
        <f>COUNTIF(K:K,A212)</f>
        <v>1</v>
      </c>
      <c r="I212" s="2">
        <f t="shared" si="3"/>
        <v>0</v>
      </c>
      <c r="K212">
        <v>12206</v>
      </c>
      <c r="L212" t="s">
        <v>631</v>
      </c>
      <c r="M212" t="s">
        <v>277</v>
      </c>
      <c r="N212">
        <v>15</v>
      </c>
      <c r="O212" t="s">
        <v>251</v>
      </c>
      <c r="P212">
        <v>50</v>
      </c>
      <c r="R212" t="str">
        <f ca="1">IFERROR(IF(VLOOKUP(K212,A:F,6,FALSE)&lt;&gt;P212,"INSERT INTO playerTPEHistory ( playerID, playerTPE, historyDate, historySeason, historyWeek, historyLeague ) VALUES ("&amp;K212&amp;", "&amp;F212&amp;", '"&amp;TEXT(NOW(),"yyyy-mm-dd")&amp;"', "&amp;$E$1&amp;", "&amp;$G$1&amp;", '"&amp;VLOOKUP(E212,Index!B:C,2,FALSE)&amp;" ' );",""),"")</f>
        <v/>
      </c>
    </row>
    <row r="213" spans="1:18" x14ac:dyDescent="0.25">
      <c r="A213">
        <v>12091</v>
      </c>
      <c r="B213" t="s">
        <v>632</v>
      </c>
      <c r="C213" t="s">
        <v>276</v>
      </c>
      <c r="D213" t="s">
        <v>621</v>
      </c>
      <c r="E213" t="s">
        <v>251</v>
      </c>
      <c r="F213">
        <v>50</v>
      </c>
      <c r="H213" s="2">
        <f>COUNTIF(K:K,A213)</f>
        <v>1</v>
      </c>
      <c r="I213" s="2">
        <f t="shared" si="3"/>
        <v>0</v>
      </c>
      <c r="K213">
        <v>12091</v>
      </c>
      <c r="L213" t="s">
        <v>632</v>
      </c>
      <c r="M213" t="s">
        <v>276</v>
      </c>
      <c r="N213">
        <v>15</v>
      </c>
      <c r="O213" t="s">
        <v>251</v>
      </c>
      <c r="P213">
        <v>50</v>
      </c>
      <c r="R213" t="str">
        <f ca="1">IFERROR(IF(VLOOKUP(K213,A:F,6,FALSE)&lt;&gt;P213,"INSERT INTO playerTPEHistory ( playerID, playerTPE, historyDate, historySeason, historyWeek, historyLeague ) VALUES ("&amp;K213&amp;", "&amp;F213&amp;", '"&amp;TEXT(NOW(),"yyyy-mm-dd")&amp;"', "&amp;$E$1&amp;", "&amp;$G$1&amp;", '"&amp;VLOOKUP(E213,Index!B:C,2,FALSE)&amp;" ' );",""),"")</f>
        <v/>
      </c>
    </row>
    <row r="214" spans="1:18" x14ac:dyDescent="0.25">
      <c r="A214">
        <v>12009</v>
      </c>
      <c r="B214" t="s">
        <v>633</v>
      </c>
      <c r="C214" t="s">
        <v>274</v>
      </c>
      <c r="D214" t="s">
        <v>621</v>
      </c>
      <c r="E214" t="s">
        <v>251</v>
      </c>
      <c r="F214">
        <v>50</v>
      </c>
      <c r="H214" s="2">
        <f>COUNTIF(K:K,A214)</f>
        <v>1</v>
      </c>
      <c r="I214" s="2">
        <f t="shared" si="3"/>
        <v>0</v>
      </c>
      <c r="K214">
        <v>11990</v>
      </c>
      <c r="L214" t="s">
        <v>634</v>
      </c>
      <c r="M214" t="s">
        <v>275</v>
      </c>
      <c r="N214">
        <v>15</v>
      </c>
      <c r="O214" t="s">
        <v>251</v>
      </c>
      <c r="P214">
        <v>50</v>
      </c>
      <c r="R214" t="str">
        <f ca="1">IFERROR(IF(VLOOKUP(K214,A:F,6,FALSE)&lt;&gt;P214,"INSERT INTO playerTPEHistory ( playerID, playerTPE, historyDate, historySeason, historyWeek, historyLeague ) VALUES ("&amp;K214&amp;", "&amp;F214&amp;", '"&amp;TEXT(NOW(),"yyyy-mm-dd")&amp;"', "&amp;$E$1&amp;", "&amp;$G$1&amp;", '"&amp;VLOOKUP(E214,Index!B:C,2,FALSE)&amp;" ' );",""),"")</f>
        <v/>
      </c>
    </row>
    <row r="215" spans="1:18" x14ac:dyDescent="0.25">
      <c r="A215">
        <v>11990</v>
      </c>
      <c r="B215" t="s">
        <v>634</v>
      </c>
      <c r="C215" t="s">
        <v>275</v>
      </c>
      <c r="D215" t="s">
        <v>621</v>
      </c>
      <c r="E215" t="s">
        <v>251</v>
      </c>
      <c r="F215">
        <v>50</v>
      </c>
      <c r="H215" s="2">
        <f>COUNTIF(K:K,A215)</f>
        <v>1</v>
      </c>
      <c r="I215" s="2">
        <f t="shared" si="3"/>
        <v>0</v>
      </c>
      <c r="K215">
        <v>11768</v>
      </c>
      <c r="L215" t="s">
        <v>635</v>
      </c>
      <c r="M215" t="s">
        <v>275</v>
      </c>
      <c r="N215">
        <v>14</v>
      </c>
      <c r="O215" t="s">
        <v>251</v>
      </c>
      <c r="P215">
        <v>57</v>
      </c>
      <c r="R215" t="str">
        <f ca="1">IFERROR(IF(VLOOKUP(K215,A:F,6,FALSE)&lt;&gt;P215,"INSERT INTO playerTPEHistory ( playerID, playerTPE, historyDate, historySeason, historyWeek, historyLeague ) VALUES ("&amp;K215&amp;", "&amp;F215&amp;", '"&amp;TEXT(NOW(),"yyyy-mm-dd")&amp;"', "&amp;$E$1&amp;", "&amp;$G$1&amp;", '"&amp;VLOOKUP(E215,Index!B:C,2,FALSE)&amp;" ' );",""),"")</f>
        <v/>
      </c>
    </row>
    <row r="216" spans="1:18" x14ac:dyDescent="0.25">
      <c r="A216">
        <v>11768</v>
      </c>
      <c r="B216" t="s">
        <v>635</v>
      </c>
      <c r="C216" t="s">
        <v>275</v>
      </c>
      <c r="D216" t="s">
        <v>486</v>
      </c>
      <c r="E216" t="s">
        <v>251</v>
      </c>
      <c r="F216">
        <v>57</v>
      </c>
      <c r="H216" s="2">
        <f>COUNTIF(K:K,A216)</f>
        <v>1</v>
      </c>
      <c r="I216" s="2">
        <f t="shared" si="3"/>
        <v>0</v>
      </c>
      <c r="K216">
        <v>11742</v>
      </c>
      <c r="L216" t="s">
        <v>636</v>
      </c>
      <c r="M216" t="s">
        <v>275</v>
      </c>
      <c r="N216">
        <v>14</v>
      </c>
      <c r="O216" t="s">
        <v>251</v>
      </c>
      <c r="P216">
        <v>57</v>
      </c>
      <c r="R216" t="str">
        <f ca="1">IFERROR(IF(VLOOKUP(K216,A:F,6,FALSE)&lt;&gt;P216,"INSERT INTO playerTPEHistory ( playerID, playerTPE, historyDate, historySeason, historyWeek, historyLeague ) VALUES ("&amp;K216&amp;", "&amp;F216&amp;", '"&amp;TEXT(NOW(),"yyyy-mm-dd")&amp;"', "&amp;$E$1&amp;", "&amp;$G$1&amp;", '"&amp;VLOOKUP(E216,Index!B:C,2,FALSE)&amp;" ' );",""),"")</f>
        <v/>
      </c>
    </row>
    <row r="217" spans="1:18" x14ac:dyDescent="0.25">
      <c r="A217">
        <v>11742</v>
      </c>
      <c r="B217" t="s">
        <v>636</v>
      </c>
      <c r="C217" t="s">
        <v>275</v>
      </c>
      <c r="D217" t="s">
        <v>486</v>
      </c>
      <c r="E217" t="s">
        <v>251</v>
      </c>
      <c r="F217">
        <v>57</v>
      </c>
      <c r="H217" s="2">
        <f>COUNTIF(K:K,A217)</f>
        <v>1</v>
      </c>
      <c r="I217" s="2">
        <f t="shared" si="3"/>
        <v>0</v>
      </c>
      <c r="K217">
        <v>11678</v>
      </c>
      <c r="L217" t="s">
        <v>637</v>
      </c>
      <c r="M217" t="s">
        <v>283</v>
      </c>
      <c r="N217">
        <v>14</v>
      </c>
      <c r="O217" t="s">
        <v>251</v>
      </c>
      <c r="P217">
        <v>294</v>
      </c>
      <c r="R217" t="str">
        <f ca="1">IFERROR(IF(VLOOKUP(K217,A:F,6,FALSE)&lt;&gt;P217,"INSERT INTO playerTPEHistory ( playerID, playerTPE, historyDate, historySeason, historyWeek, historyLeague ) VALUES ("&amp;K217&amp;", "&amp;F217&amp;", '"&amp;TEXT(NOW(),"yyyy-mm-dd")&amp;"', "&amp;$E$1&amp;", "&amp;$G$1&amp;", '"&amp;VLOOKUP(E217,Index!B:C,2,FALSE)&amp;" ' );",""),"")</f>
        <v>INSERT INTO playerTPEHistory ( playerID, playerTPE, historyDate, historySeason, historyWeek, historyLeague ) VALUES (11678, 57, '2019-04-01', 14, 4, 'DSFL ' );</v>
      </c>
    </row>
    <row r="218" spans="1:18" x14ac:dyDescent="0.25">
      <c r="A218">
        <v>11678</v>
      </c>
      <c r="B218" t="s">
        <v>637</v>
      </c>
      <c r="C218" t="s">
        <v>283</v>
      </c>
      <c r="D218" t="s">
        <v>486</v>
      </c>
      <c r="E218" t="s">
        <v>251</v>
      </c>
      <c r="F218">
        <v>309</v>
      </c>
      <c r="H218" s="2">
        <f>COUNTIF(K:K,A218)</f>
        <v>1</v>
      </c>
      <c r="I218" s="2">
        <f t="shared" si="3"/>
        <v>0</v>
      </c>
      <c r="K218">
        <v>11604</v>
      </c>
      <c r="L218" t="s">
        <v>638</v>
      </c>
      <c r="M218" t="s">
        <v>274</v>
      </c>
      <c r="N218">
        <v>14</v>
      </c>
      <c r="O218" t="s">
        <v>251</v>
      </c>
      <c r="P218">
        <v>50</v>
      </c>
      <c r="R218" t="str">
        <f ca="1">IFERROR(IF(VLOOKUP(K218,A:F,6,FALSE)&lt;&gt;P218,"INSERT INTO playerTPEHistory ( playerID, playerTPE, historyDate, historySeason, historyWeek, historyLeague ) VALUES ("&amp;K218&amp;", "&amp;F218&amp;", '"&amp;TEXT(NOW(),"yyyy-mm-dd")&amp;"', "&amp;$E$1&amp;", "&amp;$G$1&amp;", '"&amp;VLOOKUP(E218,Index!B:C,2,FALSE)&amp;" ' );",""),"")</f>
        <v/>
      </c>
    </row>
    <row r="219" spans="1:18" x14ac:dyDescent="0.25">
      <c r="A219">
        <v>11604</v>
      </c>
      <c r="B219" t="s">
        <v>638</v>
      </c>
      <c r="C219" t="s">
        <v>274</v>
      </c>
      <c r="D219" t="s">
        <v>486</v>
      </c>
      <c r="E219" t="s">
        <v>251</v>
      </c>
      <c r="F219">
        <v>50</v>
      </c>
      <c r="H219" s="2">
        <f>COUNTIF(K:K,A219)</f>
        <v>1</v>
      </c>
      <c r="I219" s="2">
        <f t="shared" si="3"/>
        <v>0</v>
      </c>
      <c r="K219">
        <v>11580</v>
      </c>
      <c r="L219" t="s">
        <v>639</v>
      </c>
      <c r="M219" t="s">
        <v>274</v>
      </c>
      <c r="N219">
        <v>14</v>
      </c>
      <c r="O219" t="s">
        <v>251</v>
      </c>
      <c r="P219">
        <v>135</v>
      </c>
      <c r="R219" t="str">
        <f ca="1">IFERROR(IF(VLOOKUP(K219,A:F,6,FALSE)&lt;&gt;P219,"INSERT INTO playerTPEHistory ( playerID, playerTPE, historyDate, historySeason, historyWeek, historyLeague ) VALUES ("&amp;K219&amp;", "&amp;F219&amp;", '"&amp;TEXT(NOW(),"yyyy-mm-dd")&amp;"', "&amp;$E$1&amp;", "&amp;$G$1&amp;", '"&amp;VLOOKUP(E219,Index!B:C,2,FALSE)&amp;" ' );",""),"")</f>
        <v>INSERT INTO playerTPEHistory ( playerID, playerTPE, historyDate, historySeason, historyWeek, historyLeague ) VALUES (11580, 50, '2019-04-01', 14, 4, 'DSFL ' );</v>
      </c>
    </row>
    <row r="220" spans="1:18" x14ac:dyDescent="0.25">
      <c r="A220">
        <v>11580</v>
      </c>
      <c r="B220" t="s">
        <v>639</v>
      </c>
      <c r="C220" t="s">
        <v>274</v>
      </c>
      <c r="D220" t="s">
        <v>486</v>
      </c>
      <c r="E220" t="s">
        <v>251</v>
      </c>
      <c r="F220">
        <v>148</v>
      </c>
      <c r="H220" s="2">
        <f>COUNTIF(K:K,A220)</f>
        <v>1</v>
      </c>
      <c r="I220" s="2">
        <f t="shared" si="3"/>
        <v>0</v>
      </c>
      <c r="K220">
        <v>11444</v>
      </c>
      <c r="L220" t="s">
        <v>640</v>
      </c>
      <c r="M220" t="s">
        <v>278</v>
      </c>
      <c r="N220">
        <v>13</v>
      </c>
      <c r="O220" t="s">
        <v>251</v>
      </c>
      <c r="P220">
        <v>63</v>
      </c>
      <c r="R220" t="str">
        <f ca="1">IFERROR(IF(VLOOKUP(K220,A:F,6,FALSE)&lt;&gt;P220,"INSERT INTO playerTPEHistory ( playerID, playerTPE, historyDate, historySeason, historyWeek, historyLeague ) VALUES ("&amp;K220&amp;", "&amp;F220&amp;", '"&amp;TEXT(NOW(),"yyyy-mm-dd")&amp;"', "&amp;$E$1&amp;", "&amp;$G$1&amp;", '"&amp;VLOOKUP(E220,Index!B:C,2,FALSE)&amp;" ' );",""),"")</f>
        <v/>
      </c>
    </row>
    <row r="221" spans="1:18" x14ac:dyDescent="0.25">
      <c r="A221">
        <v>11444</v>
      </c>
      <c r="B221" t="s">
        <v>640</v>
      </c>
      <c r="C221" t="s">
        <v>278</v>
      </c>
      <c r="D221" t="s">
        <v>409</v>
      </c>
      <c r="E221" t="s">
        <v>251</v>
      </c>
      <c r="F221">
        <v>63</v>
      </c>
      <c r="H221" s="2">
        <f>COUNTIF(K:K,A221)</f>
        <v>1</v>
      </c>
      <c r="I221" s="2">
        <f t="shared" si="3"/>
        <v>0</v>
      </c>
      <c r="K221">
        <v>11406</v>
      </c>
      <c r="L221" t="s">
        <v>641</v>
      </c>
      <c r="M221" t="s">
        <v>281</v>
      </c>
      <c r="N221">
        <v>13</v>
      </c>
      <c r="O221" t="s">
        <v>251</v>
      </c>
      <c r="P221">
        <v>108</v>
      </c>
      <c r="R221" t="str">
        <f ca="1">IFERROR(IF(VLOOKUP(K221,A:F,6,FALSE)&lt;&gt;P221,"INSERT INTO playerTPEHistory ( playerID, playerTPE, historyDate, historySeason, historyWeek, historyLeague ) VALUES ("&amp;K221&amp;", "&amp;F221&amp;", '"&amp;TEXT(NOW(),"yyyy-mm-dd")&amp;"', "&amp;$E$1&amp;", "&amp;$G$1&amp;", '"&amp;VLOOKUP(E221,Index!B:C,2,FALSE)&amp;" ' );",""),"")</f>
        <v/>
      </c>
    </row>
    <row r="222" spans="1:18" x14ac:dyDescent="0.25">
      <c r="A222">
        <v>11406</v>
      </c>
      <c r="B222" t="s">
        <v>641</v>
      </c>
      <c r="C222" t="s">
        <v>281</v>
      </c>
      <c r="D222" t="s">
        <v>409</v>
      </c>
      <c r="E222" t="s">
        <v>251</v>
      </c>
      <c r="F222">
        <v>108</v>
      </c>
      <c r="H222" s="2">
        <f>COUNTIF(K:K,A222)</f>
        <v>1</v>
      </c>
      <c r="I222" s="2">
        <f t="shared" si="3"/>
        <v>0</v>
      </c>
      <c r="K222">
        <v>10911</v>
      </c>
      <c r="L222" t="s">
        <v>642</v>
      </c>
      <c r="M222" t="s">
        <v>282</v>
      </c>
      <c r="N222">
        <v>12</v>
      </c>
      <c r="O222" t="s">
        <v>251</v>
      </c>
      <c r="P222">
        <v>57</v>
      </c>
      <c r="R222" t="str">
        <f ca="1">IFERROR(IF(VLOOKUP(K222,A:F,6,FALSE)&lt;&gt;P222,"INSERT INTO playerTPEHistory ( playerID, playerTPE, historyDate, historySeason, historyWeek, historyLeague ) VALUES ("&amp;K222&amp;", "&amp;F222&amp;", '"&amp;TEXT(NOW(),"yyyy-mm-dd")&amp;"', "&amp;$E$1&amp;", "&amp;$G$1&amp;", '"&amp;VLOOKUP(E222,Index!B:C,2,FALSE)&amp;" ' );",""),"")</f>
        <v/>
      </c>
    </row>
    <row r="223" spans="1:18" x14ac:dyDescent="0.25">
      <c r="A223">
        <v>10911</v>
      </c>
      <c r="B223" t="s">
        <v>642</v>
      </c>
      <c r="C223" t="s">
        <v>282</v>
      </c>
      <c r="D223" t="s">
        <v>411</v>
      </c>
      <c r="E223" t="s">
        <v>251</v>
      </c>
      <c r="F223">
        <v>57</v>
      </c>
      <c r="H223" s="2">
        <f>COUNTIF(K:K,A223)</f>
        <v>1</v>
      </c>
      <c r="I223" s="2">
        <f t="shared" si="3"/>
        <v>1</v>
      </c>
      <c r="K223">
        <v>10792</v>
      </c>
      <c r="L223" t="s">
        <v>779</v>
      </c>
      <c r="M223" t="s">
        <v>281</v>
      </c>
      <c r="N223">
        <v>12</v>
      </c>
      <c r="O223" t="s">
        <v>251</v>
      </c>
      <c r="P223">
        <v>178</v>
      </c>
      <c r="R223" t="str">
        <f ca="1">IFERROR(IF(VLOOKUP(K223,A:F,6,FALSE)&lt;&gt;P223,"INSERT INTO playerTPEHistory ( playerID, playerTPE, historyDate, historySeason, historyWeek, historyLeague ) VALUES ("&amp;K223&amp;", "&amp;F223&amp;", '"&amp;TEXT(NOW(),"yyyy-mm-dd")&amp;"', "&amp;$E$1&amp;", "&amp;$G$1&amp;", '"&amp;VLOOKUP(E223,Index!B:C,2,FALSE)&amp;" ' );",""),"")</f>
        <v/>
      </c>
    </row>
    <row r="224" spans="1:18" x14ac:dyDescent="0.25">
      <c r="A224">
        <v>10449</v>
      </c>
      <c r="B224" t="s">
        <v>643</v>
      </c>
      <c r="C224" t="s">
        <v>275</v>
      </c>
      <c r="D224" t="s">
        <v>411</v>
      </c>
      <c r="E224" t="s">
        <v>251</v>
      </c>
      <c r="F224">
        <v>187</v>
      </c>
      <c r="H224" s="2">
        <f>COUNTIF(K:K,A224)</f>
        <v>1</v>
      </c>
      <c r="I224" s="2">
        <f t="shared" si="3"/>
        <v>1</v>
      </c>
      <c r="K224">
        <v>10523</v>
      </c>
      <c r="L224" t="s">
        <v>780</v>
      </c>
      <c r="M224" t="s">
        <v>283</v>
      </c>
      <c r="N224">
        <v>12</v>
      </c>
      <c r="O224" t="s">
        <v>251</v>
      </c>
      <c r="P224">
        <v>282</v>
      </c>
      <c r="R224" t="str">
        <f ca="1">IFERROR(IF(VLOOKUP(K224,A:F,6,FALSE)&lt;&gt;P224,"INSERT INTO playerTPEHistory ( playerID, playerTPE, historyDate, historySeason, historyWeek, historyLeague ) VALUES ("&amp;K224&amp;", "&amp;F224&amp;", '"&amp;TEXT(NOW(),"yyyy-mm-dd")&amp;"', "&amp;$E$1&amp;", "&amp;$G$1&amp;", '"&amp;VLOOKUP(E224,Index!B:C,2,FALSE)&amp;" ' );",""),"")</f>
        <v/>
      </c>
    </row>
    <row r="225" spans="1:18" x14ac:dyDescent="0.25">
      <c r="A225">
        <v>10446</v>
      </c>
      <c r="B225" t="s">
        <v>644</v>
      </c>
      <c r="C225" t="s">
        <v>276</v>
      </c>
      <c r="D225" t="s">
        <v>418</v>
      </c>
      <c r="E225" t="s">
        <v>251</v>
      </c>
      <c r="F225">
        <v>62</v>
      </c>
      <c r="H225" s="2">
        <f>COUNTIF(K:K,A225)</f>
        <v>1</v>
      </c>
      <c r="I225" s="2">
        <f t="shared" si="3"/>
        <v>0</v>
      </c>
      <c r="K225">
        <v>10449</v>
      </c>
      <c r="L225" t="s">
        <v>643</v>
      </c>
      <c r="M225" t="s">
        <v>275</v>
      </c>
      <c r="N225">
        <v>12</v>
      </c>
      <c r="O225" t="s">
        <v>251</v>
      </c>
      <c r="P225">
        <v>187</v>
      </c>
      <c r="R225" t="str">
        <f ca="1">IFERROR(IF(VLOOKUP(K225,A:F,6,FALSE)&lt;&gt;P225,"INSERT INTO playerTPEHistory ( playerID, playerTPE, historyDate, historySeason, historyWeek, historyLeague ) VALUES ("&amp;K225&amp;", "&amp;F225&amp;", '"&amp;TEXT(NOW(),"yyyy-mm-dd")&amp;"', "&amp;$E$1&amp;", "&amp;$G$1&amp;", '"&amp;VLOOKUP(E225,Index!B:C,2,FALSE)&amp;" ' );",""),"")</f>
        <v/>
      </c>
    </row>
    <row r="226" spans="1:18" x14ac:dyDescent="0.25">
      <c r="A226">
        <v>9797</v>
      </c>
      <c r="B226" t="s">
        <v>645</v>
      </c>
      <c r="C226" t="s">
        <v>277</v>
      </c>
      <c r="D226" t="s">
        <v>423</v>
      </c>
      <c r="E226" t="s">
        <v>251</v>
      </c>
      <c r="F226">
        <v>76</v>
      </c>
      <c r="H226" s="2">
        <f>COUNTIF(K:K,A226)</f>
        <v>1</v>
      </c>
      <c r="I226" s="2">
        <f t="shared" si="3"/>
        <v>0</v>
      </c>
      <c r="K226">
        <v>10446</v>
      </c>
      <c r="L226" t="s">
        <v>644</v>
      </c>
      <c r="M226" t="s">
        <v>276</v>
      </c>
      <c r="N226">
        <v>11</v>
      </c>
      <c r="O226" t="s">
        <v>251</v>
      </c>
      <c r="P226">
        <v>62</v>
      </c>
      <c r="R226" t="str">
        <f ca="1">IFERROR(IF(VLOOKUP(K226,A:F,6,FALSE)&lt;&gt;P226,"INSERT INTO playerTPEHistory ( playerID, playerTPE, historyDate, historySeason, historyWeek, historyLeague ) VALUES ("&amp;K226&amp;", "&amp;F226&amp;", '"&amp;TEXT(NOW(),"yyyy-mm-dd")&amp;"', "&amp;$E$1&amp;", "&amp;$G$1&amp;", '"&amp;VLOOKUP(E226,Index!B:C,2,FALSE)&amp;" ' );",""),"")</f>
        <v/>
      </c>
    </row>
    <row r="227" spans="1:18" x14ac:dyDescent="0.25">
      <c r="A227">
        <v>9637</v>
      </c>
      <c r="B227" t="s">
        <v>646</v>
      </c>
      <c r="C227" t="s">
        <v>276</v>
      </c>
      <c r="D227" t="s">
        <v>423</v>
      </c>
      <c r="E227" t="s">
        <v>251</v>
      </c>
      <c r="F227">
        <v>138</v>
      </c>
      <c r="H227" s="2">
        <f>COUNTIF(K:K,A227)</f>
        <v>1</v>
      </c>
      <c r="I227" s="2">
        <f t="shared" si="3"/>
        <v>0</v>
      </c>
      <c r="K227">
        <v>9797</v>
      </c>
      <c r="L227" t="s">
        <v>645</v>
      </c>
      <c r="M227" t="s">
        <v>277</v>
      </c>
      <c r="N227">
        <v>10</v>
      </c>
      <c r="O227" t="s">
        <v>251</v>
      </c>
      <c r="P227">
        <v>76</v>
      </c>
      <c r="R227" t="str">
        <f ca="1">IFERROR(IF(VLOOKUP(K227,A:F,6,FALSE)&lt;&gt;P227,"INSERT INTO playerTPEHistory ( playerID, playerTPE, historyDate, historySeason, historyWeek, historyLeague ) VALUES ("&amp;K227&amp;", "&amp;F227&amp;", '"&amp;TEXT(NOW(),"yyyy-mm-dd")&amp;"', "&amp;$E$1&amp;", "&amp;$G$1&amp;", '"&amp;VLOOKUP(E227,Index!B:C,2,FALSE)&amp;" ' );",""),"")</f>
        <v/>
      </c>
    </row>
    <row r="228" spans="1:18" x14ac:dyDescent="0.25">
      <c r="A228">
        <v>12778</v>
      </c>
      <c r="B228" t="s">
        <v>647</v>
      </c>
      <c r="C228" t="s">
        <v>282</v>
      </c>
      <c r="D228" t="s">
        <v>621</v>
      </c>
      <c r="E228" t="s">
        <v>252</v>
      </c>
      <c r="F228">
        <v>50</v>
      </c>
      <c r="H228" s="2">
        <f>COUNTIF(K:K,A228)</f>
        <v>1</v>
      </c>
      <c r="I228" s="2">
        <f t="shared" si="3"/>
        <v>0</v>
      </c>
      <c r="K228">
        <v>9637</v>
      </c>
      <c r="L228" t="s">
        <v>646</v>
      </c>
      <c r="M228" t="s">
        <v>276</v>
      </c>
      <c r="N228">
        <v>10</v>
      </c>
      <c r="O228" t="s">
        <v>251</v>
      </c>
      <c r="P228">
        <v>138</v>
      </c>
      <c r="R228" t="str">
        <f ca="1">IFERROR(IF(VLOOKUP(K228,A:F,6,FALSE)&lt;&gt;P228,"INSERT INTO playerTPEHistory ( playerID, playerTPE, historyDate, historySeason, historyWeek, historyLeague ) VALUES ("&amp;K228&amp;", "&amp;F228&amp;", '"&amp;TEXT(NOW(),"yyyy-mm-dd")&amp;"', "&amp;$E$1&amp;", "&amp;$G$1&amp;", '"&amp;VLOOKUP(E228,Index!B:C,2,FALSE)&amp;" ' );",""),"")</f>
        <v/>
      </c>
    </row>
    <row r="229" spans="1:18" x14ac:dyDescent="0.25">
      <c r="A229">
        <v>12613</v>
      </c>
      <c r="B229" t="s">
        <v>648</v>
      </c>
      <c r="C229" t="s">
        <v>278</v>
      </c>
      <c r="D229" t="s">
        <v>621</v>
      </c>
      <c r="E229" t="s">
        <v>252</v>
      </c>
      <c r="F229">
        <v>118</v>
      </c>
      <c r="H229" s="2">
        <f>COUNTIF(K:K,A229)</f>
        <v>1</v>
      </c>
      <c r="I229" s="2">
        <f t="shared" si="3"/>
        <v>0</v>
      </c>
      <c r="K229">
        <v>12778</v>
      </c>
      <c r="L229" t="s">
        <v>647</v>
      </c>
      <c r="M229" t="s">
        <v>282</v>
      </c>
      <c r="N229">
        <v>15</v>
      </c>
      <c r="O229" t="s">
        <v>252</v>
      </c>
      <c r="P229">
        <v>50</v>
      </c>
      <c r="R229" t="str">
        <f ca="1">IFERROR(IF(VLOOKUP(K229,A:F,6,FALSE)&lt;&gt;P229,"INSERT INTO playerTPEHistory ( playerID, playerTPE, historyDate, historySeason, historyWeek, historyLeague ) VALUES ("&amp;K229&amp;", "&amp;F229&amp;", '"&amp;TEXT(NOW(),"yyyy-mm-dd")&amp;"', "&amp;$E$1&amp;", "&amp;$G$1&amp;", '"&amp;VLOOKUP(E229,Index!B:C,2,FALSE)&amp;" ' );",""),"")</f>
        <v/>
      </c>
    </row>
    <row r="230" spans="1:18" x14ac:dyDescent="0.25">
      <c r="A230">
        <v>12493</v>
      </c>
      <c r="B230" t="s">
        <v>649</v>
      </c>
      <c r="C230" t="s">
        <v>277</v>
      </c>
      <c r="D230" t="s">
        <v>621</v>
      </c>
      <c r="E230" t="s">
        <v>252</v>
      </c>
      <c r="F230">
        <v>50</v>
      </c>
      <c r="H230" s="2">
        <f>COUNTIF(K:K,A230)</f>
        <v>1</v>
      </c>
      <c r="I230" s="2">
        <f t="shared" si="3"/>
        <v>0</v>
      </c>
      <c r="K230">
        <v>12613</v>
      </c>
      <c r="L230" t="s">
        <v>648</v>
      </c>
      <c r="M230" t="s">
        <v>278</v>
      </c>
      <c r="N230">
        <v>15</v>
      </c>
      <c r="O230" t="s">
        <v>252</v>
      </c>
      <c r="P230">
        <v>111</v>
      </c>
      <c r="R230" t="str">
        <f ca="1">IFERROR(IF(VLOOKUP(K230,A:F,6,FALSE)&lt;&gt;P230,"INSERT INTO playerTPEHistory ( playerID, playerTPE, historyDate, historySeason, historyWeek, historyLeague ) VALUES ("&amp;K230&amp;", "&amp;F230&amp;", '"&amp;TEXT(NOW(),"yyyy-mm-dd")&amp;"', "&amp;$E$1&amp;", "&amp;$G$1&amp;", '"&amp;VLOOKUP(E230,Index!B:C,2,FALSE)&amp;" ' );",""),"")</f>
        <v>INSERT INTO playerTPEHistory ( playerID, playerTPE, historyDate, historySeason, historyWeek, historyLeague ) VALUES (12613, 50, '2019-04-01', 14, 4, 'DSFL ' );</v>
      </c>
    </row>
    <row r="231" spans="1:18" x14ac:dyDescent="0.25">
      <c r="A231">
        <v>12329</v>
      </c>
      <c r="B231" t="s">
        <v>650</v>
      </c>
      <c r="C231" t="s">
        <v>282</v>
      </c>
      <c r="D231" t="s">
        <v>621</v>
      </c>
      <c r="E231" t="s">
        <v>252</v>
      </c>
      <c r="F231">
        <v>82</v>
      </c>
      <c r="H231" s="2">
        <f>COUNTIF(K:K,A231)</f>
        <v>1</v>
      </c>
      <c r="I231" s="2">
        <f t="shared" si="3"/>
        <v>0</v>
      </c>
      <c r="K231">
        <v>12493</v>
      </c>
      <c r="L231" t="s">
        <v>649</v>
      </c>
      <c r="M231" t="s">
        <v>277</v>
      </c>
      <c r="N231">
        <v>15</v>
      </c>
      <c r="O231" t="s">
        <v>252</v>
      </c>
      <c r="P231">
        <v>50</v>
      </c>
      <c r="R231" t="str">
        <f ca="1">IFERROR(IF(VLOOKUP(K231,A:F,6,FALSE)&lt;&gt;P231,"INSERT INTO playerTPEHistory ( playerID, playerTPE, historyDate, historySeason, historyWeek, historyLeague ) VALUES ("&amp;K231&amp;", "&amp;F231&amp;", '"&amp;TEXT(NOW(),"yyyy-mm-dd")&amp;"', "&amp;$E$1&amp;", "&amp;$G$1&amp;", '"&amp;VLOOKUP(E231,Index!B:C,2,FALSE)&amp;" ' );",""),"")</f>
        <v/>
      </c>
    </row>
    <row r="232" spans="1:18" x14ac:dyDescent="0.25">
      <c r="A232">
        <v>12378</v>
      </c>
      <c r="B232" t="s">
        <v>651</v>
      </c>
      <c r="C232" t="s">
        <v>275</v>
      </c>
      <c r="D232" t="s">
        <v>621</v>
      </c>
      <c r="E232" t="s">
        <v>252</v>
      </c>
      <c r="F232">
        <v>69</v>
      </c>
      <c r="H232" s="2">
        <f>COUNTIF(K:K,A232)</f>
        <v>1</v>
      </c>
      <c r="I232" s="2">
        <f t="shared" si="3"/>
        <v>0</v>
      </c>
      <c r="K232">
        <v>12329</v>
      </c>
      <c r="L232" t="s">
        <v>650</v>
      </c>
      <c r="M232" t="s">
        <v>282</v>
      </c>
      <c r="N232">
        <v>15</v>
      </c>
      <c r="O232" t="s">
        <v>252</v>
      </c>
      <c r="P232">
        <v>67</v>
      </c>
      <c r="R232" t="str">
        <f ca="1">IFERROR(IF(VLOOKUP(K232,A:F,6,FALSE)&lt;&gt;P232,"INSERT INTO playerTPEHistory ( playerID, playerTPE, historyDate, historySeason, historyWeek, historyLeague ) VALUES ("&amp;K232&amp;", "&amp;F232&amp;", '"&amp;TEXT(NOW(),"yyyy-mm-dd")&amp;"', "&amp;$E$1&amp;", "&amp;$G$1&amp;", '"&amp;VLOOKUP(E232,Index!B:C,2,FALSE)&amp;" ' );",""),"")</f>
        <v>INSERT INTO playerTPEHistory ( playerID, playerTPE, historyDate, historySeason, historyWeek, historyLeague ) VALUES (12329, 69, '2019-04-01', 14, 4, 'DSFL ' );</v>
      </c>
    </row>
    <row r="233" spans="1:18" x14ac:dyDescent="0.25">
      <c r="A233">
        <v>12326</v>
      </c>
      <c r="B233" t="s">
        <v>652</v>
      </c>
      <c r="C233" t="s">
        <v>277</v>
      </c>
      <c r="D233" t="s">
        <v>621</v>
      </c>
      <c r="E233" t="s">
        <v>252</v>
      </c>
      <c r="F233">
        <v>148</v>
      </c>
      <c r="H233" s="2">
        <f>COUNTIF(K:K,A233)</f>
        <v>1</v>
      </c>
      <c r="I233" s="2">
        <f t="shared" si="3"/>
        <v>0</v>
      </c>
      <c r="K233">
        <v>12378</v>
      </c>
      <c r="L233" t="s">
        <v>651</v>
      </c>
      <c r="M233" t="s">
        <v>275</v>
      </c>
      <c r="N233">
        <v>15</v>
      </c>
      <c r="O233" t="s">
        <v>252</v>
      </c>
      <c r="P233">
        <v>59</v>
      </c>
      <c r="R233" t="str">
        <f ca="1">IFERROR(IF(VLOOKUP(K233,A:F,6,FALSE)&lt;&gt;P233,"INSERT INTO playerTPEHistory ( playerID, playerTPE, historyDate, historySeason, historyWeek, historyLeague ) VALUES ("&amp;K233&amp;", "&amp;F233&amp;", '"&amp;TEXT(NOW(),"yyyy-mm-dd")&amp;"', "&amp;$E$1&amp;", "&amp;$G$1&amp;", '"&amp;VLOOKUP(E233,Index!B:C,2,FALSE)&amp;" ' );",""),"")</f>
        <v>INSERT INTO playerTPEHistory ( playerID, playerTPE, historyDate, historySeason, historyWeek, historyLeague ) VALUES (12378, 148, '2019-04-01', 14, 4, 'DSFL ' );</v>
      </c>
    </row>
    <row r="234" spans="1:18" x14ac:dyDescent="0.25">
      <c r="A234">
        <v>12322</v>
      </c>
      <c r="B234" t="s">
        <v>653</v>
      </c>
      <c r="C234" t="s">
        <v>281</v>
      </c>
      <c r="D234" t="s">
        <v>621</v>
      </c>
      <c r="E234" t="s">
        <v>252</v>
      </c>
      <c r="F234">
        <v>57</v>
      </c>
      <c r="H234" s="2">
        <f>COUNTIF(K:K,A234)</f>
        <v>1</v>
      </c>
      <c r="I234" s="2">
        <f t="shared" si="3"/>
        <v>0</v>
      </c>
      <c r="K234">
        <v>12326</v>
      </c>
      <c r="L234" t="s">
        <v>652</v>
      </c>
      <c r="M234" t="s">
        <v>277</v>
      </c>
      <c r="N234">
        <v>15</v>
      </c>
      <c r="O234" t="s">
        <v>252</v>
      </c>
      <c r="P234">
        <v>137</v>
      </c>
      <c r="R234" t="str">
        <f ca="1">IFERROR(IF(VLOOKUP(K234,A:F,6,FALSE)&lt;&gt;P234,"INSERT INTO playerTPEHistory ( playerID, playerTPE, historyDate, historySeason, historyWeek, historyLeague ) VALUES ("&amp;K234&amp;", "&amp;F234&amp;", '"&amp;TEXT(NOW(),"yyyy-mm-dd")&amp;"', "&amp;$E$1&amp;", "&amp;$G$1&amp;", '"&amp;VLOOKUP(E234,Index!B:C,2,FALSE)&amp;" ' );",""),"")</f>
        <v>INSERT INTO playerTPEHistory ( playerID, playerTPE, historyDate, historySeason, historyWeek, historyLeague ) VALUES (12326, 57, '2019-04-01', 14, 4, 'DSFL ' );</v>
      </c>
    </row>
    <row r="235" spans="1:18" x14ac:dyDescent="0.25">
      <c r="A235">
        <v>12292</v>
      </c>
      <c r="B235" t="s">
        <v>654</v>
      </c>
      <c r="C235" t="s">
        <v>277</v>
      </c>
      <c r="D235" t="s">
        <v>621</v>
      </c>
      <c r="E235" t="s">
        <v>252</v>
      </c>
      <c r="F235">
        <v>147</v>
      </c>
      <c r="H235" s="2">
        <f>COUNTIF(K:K,A235)</f>
        <v>1</v>
      </c>
      <c r="I235" s="2">
        <f t="shared" si="3"/>
        <v>0</v>
      </c>
      <c r="K235">
        <v>12322</v>
      </c>
      <c r="L235" t="s">
        <v>653</v>
      </c>
      <c r="M235" t="s">
        <v>281</v>
      </c>
      <c r="N235">
        <v>15</v>
      </c>
      <c r="O235" t="s">
        <v>252</v>
      </c>
      <c r="P235">
        <v>57</v>
      </c>
      <c r="R235" t="str">
        <f ca="1">IFERROR(IF(VLOOKUP(K235,A:F,6,FALSE)&lt;&gt;P235,"INSERT INTO playerTPEHistory ( playerID, playerTPE, historyDate, historySeason, historyWeek, historyLeague ) VALUES ("&amp;K235&amp;", "&amp;F235&amp;", '"&amp;TEXT(NOW(),"yyyy-mm-dd")&amp;"', "&amp;$E$1&amp;", "&amp;$G$1&amp;", '"&amp;VLOOKUP(E235,Index!B:C,2,FALSE)&amp;" ' );",""),"")</f>
        <v/>
      </c>
    </row>
    <row r="236" spans="1:18" x14ac:dyDescent="0.25">
      <c r="A236">
        <v>12288</v>
      </c>
      <c r="B236" t="s">
        <v>655</v>
      </c>
      <c r="C236" t="s">
        <v>277</v>
      </c>
      <c r="D236" t="s">
        <v>621</v>
      </c>
      <c r="E236" t="s">
        <v>252</v>
      </c>
      <c r="F236">
        <v>60</v>
      </c>
      <c r="H236" s="2">
        <f>COUNTIF(K:K,A236)</f>
        <v>1</v>
      </c>
      <c r="I236" s="2">
        <f t="shared" si="3"/>
        <v>0</v>
      </c>
      <c r="K236">
        <v>12292</v>
      </c>
      <c r="L236" t="s">
        <v>654</v>
      </c>
      <c r="M236" t="s">
        <v>277</v>
      </c>
      <c r="N236">
        <v>15</v>
      </c>
      <c r="O236" t="s">
        <v>252</v>
      </c>
      <c r="P236">
        <v>128</v>
      </c>
      <c r="R236" t="str">
        <f ca="1">IFERROR(IF(VLOOKUP(K236,A:F,6,FALSE)&lt;&gt;P236,"INSERT INTO playerTPEHistory ( playerID, playerTPE, historyDate, historySeason, historyWeek, historyLeague ) VALUES ("&amp;K236&amp;", "&amp;F236&amp;", '"&amp;TEXT(NOW(),"yyyy-mm-dd")&amp;"', "&amp;$E$1&amp;", "&amp;$G$1&amp;", '"&amp;VLOOKUP(E236,Index!B:C,2,FALSE)&amp;" ' );",""),"")</f>
        <v>INSERT INTO playerTPEHistory ( playerID, playerTPE, historyDate, historySeason, historyWeek, historyLeague ) VALUES (12292, 60, '2019-04-01', 14, 4, 'DSFL ' );</v>
      </c>
    </row>
    <row r="237" spans="1:18" x14ac:dyDescent="0.25">
      <c r="A237">
        <v>12268</v>
      </c>
      <c r="B237" t="s">
        <v>656</v>
      </c>
      <c r="C237" t="s">
        <v>276</v>
      </c>
      <c r="D237" t="s">
        <v>621</v>
      </c>
      <c r="E237" t="s">
        <v>252</v>
      </c>
      <c r="F237">
        <v>162</v>
      </c>
      <c r="H237" s="2">
        <f>COUNTIF(K:K,A237)</f>
        <v>1</v>
      </c>
      <c r="I237" s="2">
        <f t="shared" si="3"/>
        <v>0</v>
      </c>
      <c r="K237">
        <v>12288</v>
      </c>
      <c r="L237" t="s">
        <v>655</v>
      </c>
      <c r="M237" t="s">
        <v>277</v>
      </c>
      <c r="N237">
        <v>15</v>
      </c>
      <c r="O237" t="s">
        <v>252</v>
      </c>
      <c r="P237">
        <v>60</v>
      </c>
      <c r="R237" t="str">
        <f ca="1">IFERROR(IF(VLOOKUP(K237,A:F,6,FALSE)&lt;&gt;P237,"INSERT INTO playerTPEHistory ( playerID, playerTPE, historyDate, historySeason, historyWeek, historyLeague ) VALUES ("&amp;K237&amp;", "&amp;F237&amp;", '"&amp;TEXT(NOW(),"yyyy-mm-dd")&amp;"', "&amp;$E$1&amp;", "&amp;$G$1&amp;", '"&amp;VLOOKUP(E237,Index!B:C,2,FALSE)&amp;" ' );",""),"")</f>
        <v/>
      </c>
    </row>
    <row r="238" spans="1:18" x14ac:dyDescent="0.25">
      <c r="A238">
        <v>12204</v>
      </c>
      <c r="B238" t="s">
        <v>657</v>
      </c>
      <c r="C238" t="s">
        <v>279</v>
      </c>
      <c r="D238" t="s">
        <v>621</v>
      </c>
      <c r="E238" t="s">
        <v>252</v>
      </c>
      <c r="F238">
        <v>50</v>
      </c>
      <c r="H238" s="2">
        <f>COUNTIF(K:K,A238)</f>
        <v>1</v>
      </c>
      <c r="I238" s="2">
        <f t="shared" si="3"/>
        <v>0</v>
      </c>
      <c r="K238">
        <v>12268</v>
      </c>
      <c r="L238" t="s">
        <v>656</v>
      </c>
      <c r="M238" t="s">
        <v>276</v>
      </c>
      <c r="N238">
        <v>15</v>
      </c>
      <c r="O238" t="s">
        <v>252</v>
      </c>
      <c r="P238">
        <v>145</v>
      </c>
      <c r="R238" t="str">
        <f ca="1">IFERROR(IF(VLOOKUP(K238,A:F,6,FALSE)&lt;&gt;P238,"INSERT INTO playerTPEHistory ( playerID, playerTPE, historyDate, historySeason, historyWeek, historyLeague ) VALUES ("&amp;K238&amp;", "&amp;F238&amp;", '"&amp;TEXT(NOW(),"yyyy-mm-dd")&amp;"', "&amp;$E$1&amp;", "&amp;$G$1&amp;", '"&amp;VLOOKUP(E238,Index!B:C,2,FALSE)&amp;" ' );",""),"")</f>
        <v>INSERT INTO playerTPEHistory ( playerID, playerTPE, historyDate, historySeason, historyWeek, historyLeague ) VALUES (12268, 50, '2019-04-01', 14, 4, 'DSFL ' );</v>
      </c>
    </row>
    <row r="239" spans="1:18" x14ac:dyDescent="0.25">
      <c r="A239">
        <v>12180</v>
      </c>
      <c r="B239" t="s">
        <v>658</v>
      </c>
      <c r="C239" t="s">
        <v>276</v>
      </c>
      <c r="D239" t="s">
        <v>621</v>
      </c>
      <c r="E239" t="s">
        <v>252</v>
      </c>
      <c r="F239">
        <v>50</v>
      </c>
      <c r="H239" s="2">
        <f>COUNTIF(K:K,A239)</f>
        <v>1</v>
      </c>
      <c r="I239" s="2">
        <f t="shared" si="3"/>
        <v>0</v>
      </c>
      <c r="K239">
        <v>12204</v>
      </c>
      <c r="L239" t="s">
        <v>657</v>
      </c>
      <c r="M239" t="s">
        <v>279</v>
      </c>
      <c r="N239">
        <v>15</v>
      </c>
      <c r="O239" t="s">
        <v>252</v>
      </c>
      <c r="P239">
        <v>50</v>
      </c>
      <c r="R239" t="str">
        <f ca="1">IFERROR(IF(VLOOKUP(K239,A:F,6,FALSE)&lt;&gt;P239,"INSERT INTO playerTPEHistory ( playerID, playerTPE, historyDate, historySeason, historyWeek, historyLeague ) VALUES ("&amp;K239&amp;", "&amp;F239&amp;", '"&amp;TEXT(NOW(),"yyyy-mm-dd")&amp;"', "&amp;$E$1&amp;", "&amp;$G$1&amp;", '"&amp;VLOOKUP(E239,Index!B:C,2,FALSE)&amp;" ' );",""),"")</f>
        <v/>
      </c>
    </row>
    <row r="240" spans="1:18" x14ac:dyDescent="0.25">
      <c r="A240">
        <v>12178</v>
      </c>
      <c r="B240" t="s">
        <v>659</v>
      </c>
      <c r="C240" t="s">
        <v>274</v>
      </c>
      <c r="D240" t="s">
        <v>621</v>
      </c>
      <c r="E240" t="s">
        <v>252</v>
      </c>
      <c r="F240">
        <v>95</v>
      </c>
      <c r="H240" s="2">
        <f>COUNTIF(K:K,A240)</f>
        <v>1</v>
      </c>
      <c r="I240" s="2">
        <f t="shared" si="3"/>
        <v>0</v>
      </c>
      <c r="K240">
        <v>12180</v>
      </c>
      <c r="L240" t="s">
        <v>658</v>
      </c>
      <c r="M240" t="s">
        <v>276</v>
      </c>
      <c r="N240">
        <v>15</v>
      </c>
      <c r="O240" t="s">
        <v>252</v>
      </c>
      <c r="P240">
        <v>50</v>
      </c>
      <c r="R240" t="str">
        <f ca="1">IFERROR(IF(VLOOKUP(K240,A:F,6,FALSE)&lt;&gt;P240,"INSERT INTO playerTPEHistory ( playerID, playerTPE, historyDate, historySeason, historyWeek, historyLeague ) VALUES ("&amp;K240&amp;", "&amp;F240&amp;", '"&amp;TEXT(NOW(),"yyyy-mm-dd")&amp;"', "&amp;$E$1&amp;", "&amp;$G$1&amp;", '"&amp;VLOOKUP(E240,Index!B:C,2,FALSE)&amp;" ' );",""),"")</f>
        <v/>
      </c>
    </row>
    <row r="241" spans="1:18" x14ac:dyDescent="0.25">
      <c r="A241">
        <v>12168</v>
      </c>
      <c r="B241" t="s">
        <v>660</v>
      </c>
      <c r="C241" t="s">
        <v>277</v>
      </c>
      <c r="D241" t="s">
        <v>621</v>
      </c>
      <c r="E241" t="s">
        <v>252</v>
      </c>
      <c r="F241">
        <v>50</v>
      </c>
      <c r="H241" s="2">
        <f>COUNTIF(K:K,A241)</f>
        <v>1</v>
      </c>
      <c r="I241" s="2">
        <f t="shared" si="3"/>
        <v>0</v>
      </c>
      <c r="K241">
        <v>12178</v>
      </c>
      <c r="L241" t="s">
        <v>659</v>
      </c>
      <c r="M241" t="s">
        <v>274</v>
      </c>
      <c r="N241">
        <v>15</v>
      </c>
      <c r="O241" t="s">
        <v>252</v>
      </c>
      <c r="P241">
        <v>89</v>
      </c>
      <c r="R241" t="str">
        <f ca="1">IFERROR(IF(VLOOKUP(K241,A:F,6,FALSE)&lt;&gt;P241,"INSERT INTO playerTPEHistory ( playerID, playerTPE, historyDate, historySeason, historyWeek, historyLeague ) VALUES ("&amp;K241&amp;", "&amp;F241&amp;", '"&amp;TEXT(NOW(),"yyyy-mm-dd")&amp;"', "&amp;$E$1&amp;", "&amp;$G$1&amp;", '"&amp;VLOOKUP(E241,Index!B:C,2,FALSE)&amp;" ' );",""),"")</f>
        <v>INSERT INTO playerTPEHistory ( playerID, playerTPE, historyDate, historySeason, historyWeek, historyLeague ) VALUES (12178, 50, '2019-04-01', 14, 4, 'DSFL ' );</v>
      </c>
    </row>
    <row r="242" spans="1:18" x14ac:dyDescent="0.25">
      <c r="A242">
        <v>12142</v>
      </c>
      <c r="B242" t="s">
        <v>661</v>
      </c>
      <c r="C242" t="s">
        <v>282</v>
      </c>
      <c r="D242" t="s">
        <v>621</v>
      </c>
      <c r="E242" t="s">
        <v>252</v>
      </c>
      <c r="F242">
        <v>92</v>
      </c>
      <c r="H242" s="2">
        <f>COUNTIF(K:K,A242)</f>
        <v>1</v>
      </c>
      <c r="I242" s="2">
        <f t="shared" si="3"/>
        <v>0</v>
      </c>
      <c r="K242">
        <v>12168</v>
      </c>
      <c r="L242" t="s">
        <v>660</v>
      </c>
      <c r="M242" t="s">
        <v>277</v>
      </c>
      <c r="N242">
        <v>15</v>
      </c>
      <c r="O242" t="s">
        <v>252</v>
      </c>
      <c r="P242">
        <v>50</v>
      </c>
      <c r="R242" t="str">
        <f ca="1">IFERROR(IF(VLOOKUP(K242,A:F,6,FALSE)&lt;&gt;P242,"INSERT INTO playerTPEHistory ( playerID, playerTPE, historyDate, historySeason, historyWeek, historyLeague ) VALUES ("&amp;K242&amp;", "&amp;F242&amp;", '"&amp;TEXT(NOW(),"yyyy-mm-dd")&amp;"', "&amp;$E$1&amp;", "&amp;$G$1&amp;", '"&amp;VLOOKUP(E242,Index!B:C,2,FALSE)&amp;" ' );",""),"")</f>
        <v/>
      </c>
    </row>
    <row r="243" spans="1:18" x14ac:dyDescent="0.25">
      <c r="A243">
        <v>12031</v>
      </c>
      <c r="B243" t="s">
        <v>662</v>
      </c>
      <c r="C243" t="s">
        <v>283</v>
      </c>
      <c r="D243" t="s">
        <v>621</v>
      </c>
      <c r="E243" t="s">
        <v>252</v>
      </c>
      <c r="F243">
        <v>163</v>
      </c>
      <c r="H243" s="2">
        <f>COUNTIF(K:K,A243)</f>
        <v>1</v>
      </c>
      <c r="I243" s="2">
        <f t="shared" si="3"/>
        <v>0</v>
      </c>
      <c r="K243">
        <v>12142</v>
      </c>
      <c r="L243" t="s">
        <v>661</v>
      </c>
      <c r="M243" t="s">
        <v>282</v>
      </c>
      <c r="N243">
        <v>15</v>
      </c>
      <c r="O243" t="s">
        <v>252</v>
      </c>
      <c r="P243">
        <v>92</v>
      </c>
      <c r="R243" t="str">
        <f ca="1">IFERROR(IF(VLOOKUP(K243,A:F,6,FALSE)&lt;&gt;P243,"INSERT INTO playerTPEHistory ( playerID, playerTPE, historyDate, historySeason, historyWeek, historyLeague ) VALUES ("&amp;K243&amp;", "&amp;F243&amp;", '"&amp;TEXT(NOW(),"yyyy-mm-dd")&amp;"', "&amp;$E$1&amp;", "&amp;$G$1&amp;", '"&amp;VLOOKUP(E243,Index!B:C,2,FALSE)&amp;" ' );",""),"")</f>
        <v/>
      </c>
    </row>
    <row r="244" spans="1:18" x14ac:dyDescent="0.25">
      <c r="A244">
        <v>12024</v>
      </c>
      <c r="B244" t="s">
        <v>663</v>
      </c>
      <c r="C244" t="s">
        <v>275</v>
      </c>
      <c r="D244" t="s">
        <v>621</v>
      </c>
      <c r="E244" t="s">
        <v>252</v>
      </c>
      <c r="F244">
        <v>158</v>
      </c>
      <c r="H244" s="2">
        <f>COUNTIF(K:K,A244)</f>
        <v>1</v>
      </c>
      <c r="I244" s="2">
        <f t="shared" si="3"/>
        <v>0</v>
      </c>
      <c r="K244">
        <v>12031</v>
      </c>
      <c r="L244" t="s">
        <v>662</v>
      </c>
      <c r="M244" t="s">
        <v>283</v>
      </c>
      <c r="N244">
        <v>15</v>
      </c>
      <c r="O244" t="s">
        <v>252</v>
      </c>
      <c r="P244">
        <v>140</v>
      </c>
      <c r="R244" t="str">
        <f ca="1">IFERROR(IF(VLOOKUP(K244,A:F,6,FALSE)&lt;&gt;P244,"INSERT INTO playerTPEHistory ( playerID, playerTPE, historyDate, historySeason, historyWeek, historyLeague ) VALUES ("&amp;K244&amp;", "&amp;F244&amp;", '"&amp;TEXT(NOW(),"yyyy-mm-dd")&amp;"', "&amp;$E$1&amp;", "&amp;$G$1&amp;", '"&amp;VLOOKUP(E244,Index!B:C,2,FALSE)&amp;" ' );",""),"")</f>
        <v>INSERT INTO playerTPEHistory ( playerID, playerTPE, historyDate, historySeason, historyWeek, historyLeague ) VALUES (12031, 158, '2019-04-01', 14, 4, 'DSFL ' );</v>
      </c>
    </row>
    <row r="245" spans="1:18" x14ac:dyDescent="0.25">
      <c r="A245">
        <v>11992</v>
      </c>
      <c r="B245" t="s">
        <v>664</v>
      </c>
      <c r="C245" t="s">
        <v>276</v>
      </c>
      <c r="D245" t="s">
        <v>621</v>
      </c>
      <c r="E245" t="s">
        <v>252</v>
      </c>
      <c r="F245">
        <v>187</v>
      </c>
      <c r="H245" s="2">
        <f>COUNTIF(K:K,A245)</f>
        <v>1</v>
      </c>
      <c r="I245" s="2">
        <f t="shared" si="3"/>
        <v>0</v>
      </c>
      <c r="K245">
        <v>12024</v>
      </c>
      <c r="L245" t="s">
        <v>663</v>
      </c>
      <c r="M245" t="s">
        <v>275</v>
      </c>
      <c r="N245">
        <v>15</v>
      </c>
      <c r="O245" t="s">
        <v>252</v>
      </c>
      <c r="P245">
        <v>147</v>
      </c>
      <c r="R245" t="str">
        <f ca="1">IFERROR(IF(VLOOKUP(K245,A:F,6,FALSE)&lt;&gt;P245,"INSERT INTO playerTPEHistory ( playerID, playerTPE, historyDate, historySeason, historyWeek, historyLeague ) VALUES ("&amp;K245&amp;", "&amp;F245&amp;", '"&amp;TEXT(NOW(),"yyyy-mm-dd")&amp;"', "&amp;$E$1&amp;", "&amp;$G$1&amp;", '"&amp;VLOOKUP(E245,Index!B:C,2,FALSE)&amp;" ' );",""),"")</f>
        <v>INSERT INTO playerTPEHistory ( playerID, playerTPE, historyDate, historySeason, historyWeek, historyLeague ) VALUES (12024, 187, '2019-04-01', 14, 4, 'DSFL ' );</v>
      </c>
    </row>
    <row r="246" spans="1:18" x14ac:dyDescent="0.25">
      <c r="A246">
        <v>11926</v>
      </c>
      <c r="B246" t="s">
        <v>665</v>
      </c>
      <c r="C246" t="s">
        <v>277</v>
      </c>
      <c r="D246" t="s">
        <v>486</v>
      </c>
      <c r="E246" t="s">
        <v>252</v>
      </c>
      <c r="F246">
        <v>209</v>
      </c>
      <c r="H246" s="2">
        <f>COUNTIF(K:K,A246)</f>
        <v>1</v>
      </c>
      <c r="I246" s="2">
        <f t="shared" si="3"/>
        <v>0</v>
      </c>
      <c r="K246">
        <v>11992</v>
      </c>
      <c r="L246" t="s">
        <v>664</v>
      </c>
      <c r="M246" t="s">
        <v>276</v>
      </c>
      <c r="N246">
        <v>15</v>
      </c>
      <c r="O246" t="s">
        <v>252</v>
      </c>
      <c r="P246">
        <v>176</v>
      </c>
      <c r="R246" t="str">
        <f ca="1">IFERROR(IF(VLOOKUP(K246,A:F,6,FALSE)&lt;&gt;P246,"INSERT INTO playerTPEHistory ( playerID, playerTPE, historyDate, historySeason, historyWeek, historyLeague ) VALUES ("&amp;K246&amp;", "&amp;F246&amp;", '"&amp;TEXT(NOW(),"yyyy-mm-dd")&amp;"', "&amp;$E$1&amp;", "&amp;$G$1&amp;", '"&amp;VLOOKUP(E246,Index!B:C,2,FALSE)&amp;" ' );",""),"")</f>
        <v>INSERT INTO playerTPEHistory ( playerID, playerTPE, historyDate, historySeason, historyWeek, historyLeague ) VALUES (11992, 209, '2019-04-01', 14, 4, 'DSFL ' );</v>
      </c>
    </row>
    <row r="247" spans="1:18" x14ac:dyDescent="0.25">
      <c r="A247">
        <v>11755</v>
      </c>
      <c r="B247" t="s">
        <v>666</v>
      </c>
      <c r="C247" t="s">
        <v>283</v>
      </c>
      <c r="D247" t="s">
        <v>486</v>
      </c>
      <c r="E247" t="s">
        <v>252</v>
      </c>
      <c r="F247">
        <v>55</v>
      </c>
      <c r="H247" s="2">
        <f>COUNTIF(K:K,A247)</f>
        <v>1</v>
      </c>
      <c r="I247" s="2">
        <f t="shared" si="3"/>
        <v>0</v>
      </c>
      <c r="K247">
        <v>11926</v>
      </c>
      <c r="L247" t="s">
        <v>665</v>
      </c>
      <c r="M247" t="s">
        <v>277</v>
      </c>
      <c r="N247">
        <v>14</v>
      </c>
      <c r="O247" t="s">
        <v>252</v>
      </c>
      <c r="P247">
        <v>200</v>
      </c>
      <c r="R247" t="str">
        <f ca="1">IFERROR(IF(VLOOKUP(K247,A:F,6,FALSE)&lt;&gt;P247,"INSERT INTO playerTPEHistory ( playerID, playerTPE, historyDate, historySeason, historyWeek, historyLeague ) VALUES ("&amp;K247&amp;", "&amp;F247&amp;", '"&amp;TEXT(NOW(),"yyyy-mm-dd")&amp;"', "&amp;$E$1&amp;", "&amp;$G$1&amp;", '"&amp;VLOOKUP(E247,Index!B:C,2,FALSE)&amp;" ' );",""),"")</f>
        <v>INSERT INTO playerTPEHistory ( playerID, playerTPE, historyDate, historySeason, historyWeek, historyLeague ) VALUES (11926, 55, '2019-04-01', 14, 4, 'DSFL ' );</v>
      </c>
    </row>
    <row r="248" spans="1:18" x14ac:dyDescent="0.25">
      <c r="A248">
        <v>11738</v>
      </c>
      <c r="B248" t="s">
        <v>667</v>
      </c>
      <c r="C248" t="s">
        <v>277</v>
      </c>
      <c r="D248" t="s">
        <v>486</v>
      </c>
      <c r="E248" t="s">
        <v>252</v>
      </c>
      <c r="F248">
        <v>50</v>
      </c>
      <c r="H248" s="2">
        <f>COUNTIF(K:K,A248)</f>
        <v>1</v>
      </c>
      <c r="I248" s="2">
        <f t="shared" si="3"/>
        <v>0</v>
      </c>
      <c r="K248">
        <v>11755</v>
      </c>
      <c r="L248" t="s">
        <v>666</v>
      </c>
      <c r="M248" t="s">
        <v>283</v>
      </c>
      <c r="N248">
        <v>14</v>
      </c>
      <c r="O248" t="s">
        <v>252</v>
      </c>
      <c r="P248">
        <v>55</v>
      </c>
      <c r="R248" t="str">
        <f ca="1">IFERROR(IF(VLOOKUP(K248,A:F,6,FALSE)&lt;&gt;P248,"INSERT INTO playerTPEHistory ( playerID, playerTPE, historyDate, historySeason, historyWeek, historyLeague ) VALUES ("&amp;K248&amp;", "&amp;F248&amp;", '"&amp;TEXT(NOW(),"yyyy-mm-dd")&amp;"', "&amp;$E$1&amp;", "&amp;$G$1&amp;", '"&amp;VLOOKUP(E248,Index!B:C,2,FALSE)&amp;" ' );",""),"")</f>
        <v/>
      </c>
    </row>
    <row r="249" spans="1:18" x14ac:dyDescent="0.25">
      <c r="A249">
        <v>11684</v>
      </c>
      <c r="B249" t="s">
        <v>668</v>
      </c>
      <c r="C249" t="s">
        <v>277</v>
      </c>
      <c r="D249" t="s">
        <v>486</v>
      </c>
      <c r="E249" t="s">
        <v>252</v>
      </c>
      <c r="F249">
        <v>259</v>
      </c>
      <c r="H249" s="2">
        <f>COUNTIF(K:K,A249)</f>
        <v>1</v>
      </c>
      <c r="I249" s="2">
        <f t="shared" si="3"/>
        <v>0</v>
      </c>
      <c r="K249">
        <v>11738</v>
      </c>
      <c r="L249" t="s">
        <v>667</v>
      </c>
      <c r="M249" t="s">
        <v>277</v>
      </c>
      <c r="N249">
        <v>14</v>
      </c>
      <c r="O249" t="s">
        <v>252</v>
      </c>
      <c r="P249">
        <v>50</v>
      </c>
      <c r="R249" t="str">
        <f ca="1">IFERROR(IF(VLOOKUP(K249,A:F,6,FALSE)&lt;&gt;P249,"INSERT INTO playerTPEHistory ( playerID, playerTPE, historyDate, historySeason, historyWeek, historyLeague ) VALUES ("&amp;K249&amp;", "&amp;F249&amp;", '"&amp;TEXT(NOW(),"yyyy-mm-dd")&amp;"', "&amp;$E$1&amp;", "&amp;$G$1&amp;", '"&amp;VLOOKUP(E249,Index!B:C,2,FALSE)&amp;" ' );",""),"")</f>
        <v/>
      </c>
    </row>
    <row r="250" spans="1:18" x14ac:dyDescent="0.25">
      <c r="A250">
        <v>11615</v>
      </c>
      <c r="B250" t="s">
        <v>669</v>
      </c>
      <c r="C250" t="s">
        <v>276</v>
      </c>
      <c r="D250" t="s">
        <v>486</v>
      </c>
      <c r="E250" t="s">
        <v>252</v>
      </c>
      <c r="F250">
        <v>50</v>
      </c>
      <c r="H250" s="2">
        <f>COUNTIF(K:K,A250)</f>
        <v>1</v>
      </c>
      <c r="I250" s="2">
        <f t="shared" si="3"/>
        <v>0</v>
      </c>
      <c r="K250">
        <v>11684</v>
      </c>
      <c r="L250" t="s">
        <v>668</v>
      </c>
      <c r="M250" t="s">
        <v>277</v>
      </c>
      <c r="N250">
        <v>14</v>
      </c>
      <c r="O250" t="s">
        <v>252</v>
      </c>
      <c r="P250">
        <v>259</v>
      </c>
      <c r="R250" t="str">
        <f ca="1">IFERROR(IF(VLOOKUP(K250,A:F,6,FALSE)&lt;&gt;P250,"INSERT INTO playerTPEHistory ( playerID, playerTPE, historyDate, historySeason, historyWeek, historyLeague ) VALUES ("&amp;K250&amp;", "&amp;F250&amp;", '"&amp;TEXT(NOW(),"yyyy-mm-dd")&amp;"', "&amp;$E$1&amp;", "&amp;$G$1&amp;", '"&amp;VLOOKUP(E250,Index!B:C,2,FALSE)&amp;" ' );",""),"")</f>
        <v/>
      </c>
    </row>
    <row r="251" spans="1:18" x14ac:dyDescent="0.25">
      <c r="A251">
        <v>11532</v>
      </c>
      <c r="B251" t="s">
        <v>670</v>
      </c>
      <c r="C251" t="s">
        <v>281</v>
      </c>
      <c r="D251" t="s">
        <v>409</v>
      </c>
      <c r="E251" t="s">
        <v>252</v>
      </c>
      <c r="F251">
        <v>211</v>
      </c>
      <c r="H251" s="2">
        <f>COUNTIF(K:K,A251)</f>
        <v>1</v>
      </c>
      <c r="I251" s="2">
        <f t="shared" si="3"/>
        <v>0</v>
      </c>
      <c r="K251">
        <v>11615</v>
      </c>
      <c r="L251" t="s">
        <v>669</v>
      </c>
      <c r="M251" t="s">
        <v>276</v>
      </c>
      <c r="N251">
        <v>14</v>
      </c>
      <c r="O251" t="s">
        <v>252</v>
      </c>
      <c r="P251">
        <v>50</v>
      </c>
      <c r="R251" t="str">
        <f ca="1">IFERROR(IF(VLOOKUP(K251,A:F,6,FALSE)&lt;&gt;P251,"INSERT INTO playerTPEHistory ( playerID, playerTPE, historyDate, historySeason, historyWeek, historyLeague ) VALUES ("&amp;K251&amp;", "&amp;F251&amp;", '"&amp;TEXT(NOW(),"yyyy-mm-dd")&amp;"', "&amp;$E$1&amp;", "&amp;$G$1&amp;", '"&amp;VLOOKUP(E251,Index!B:C,2,FALSE)&amp;" ' );",""),"")</f>
        <v/>
      </c>
    </row>
    <row r="252" spans="1:18" x14ac:dyDescent="0.25">
      <c r="A252">
        <v>10886</v>
      </c>
      <c r="B252" t="s">
        <v>671</v>
      </c>
      <c r="C252" t="s">
        <v>280</v>
      </c>
      <c r="D252" t="s">
        <v>411</v>
      </c>
      <c r="E252" t="s">
        <v>252</v>
      </c>
      <c r="F252">
        <v>227</v>
      </c>
      <c r="H252" s="2">
        <f>COUNTIF(K:K,A252)</f>
        <v>1</v>
      </c>
      <c r="I252" s="2">
        <f t="shared" si="3"/>
        <v>0</v>
      </c>
      <c r="K252">
        <v>11532</v>
      </c>
      <c r="L252" t="s">
        <v>670</v>
      </c>
      <c r="M252" t="s">
        <v>281</v>
      </c>
      <c r="N252">
        <v>13</v>
      </c>
      <c r="O252" t="s">
        <v>252</v>
      </c>
      <c r="P252">
        <v>204</v>
      </c>
      <c r="R252" t="str">
        <f ca="1">IFERROR(IF(VLOOKUP(K252,A:F,6,FALSE)&lt;&gt;P252,"INSERT INTO playerTPEHistory ( playerID, playerTPE, historyDate, historySeason, historyWeek, historyLeague ) VALUES ("&amp;K252&amp;", "&amp;F252&amp;", '"&amp;TEXT(NOW(),"yyyy-mm-dd")&amp;"', "&amp;$E$1&amp;", "&amp;$G$1&amp;", '"&amp;VLOOKUP(E252,Index!B:C,2,FALSE)&amp;" ' );",""),"")</f>
        <v>INSERT INTO playerTPEHistory ( playerID, playerTPE, historyDate, historySeason, historyWeek, historyLeague ) VALUES (11532, 227, '2019-04-01', 14, 4, 'DSFL ' );</v>
      </c>
    </row>
    <row r="253" spans="1:18" x14ac:dyDescent="0.25">
      <c r="A253">
        <v>10806</v>
      </c>
      <c r="B253" t="s">
        <v>672</v>
      </c>
      <c r="C253" t="s">
        <v>275</v>
      </c>
      <c r="D253" t="s">
        <v>411</v>
      </c>
      <c r="E253" t="s">
        <v>252</v>
      </c>
      <c r="F253">
        <v>50</v>
      </c>
      <c r="H253" s="2">
        <f>COUNTIF(K:K,A253)</f>
        <v>1</v>
      </c>
      <c r="I253" s="2">
        <f t="shared" si="3"/>
        <v>0</v>
      </c>
      <c r="K253">
        <v>10886</v>
      </c>
      <c r="L253" t="s">
        <v>671</v>
      </c>
      <c r="M253" t="s">
        <v>280</v>
      </c>
      <c r="N253">
        <v>12</v>
      </c>
      <c r="O253" t="s">
        <v>252</v>
      </c>
      <c r="P253">
        <v>227</v>
      </c>
      <c r="R253" t="str">
        <f ca="1">IFERROR(IF(VLOOKUP(K253,A:F,6,FALSE)&lt;&gt;P253,"INSERT INTO playerTPEHistory ( playerID, playerTPE, historyDate, historySeason, historyWeek, historyLeague ) VALUES ("&amp;K253&amp;", "&amp;F253&amp;", '"&amp;TEXT(NOW(),"yyyy-mm-dd")&amp;"', "&amp;$E$1&amp;", "&amp;$G$1&amp;", '"&amp;VLOOKUP(E253,Index!B:C,2,FALSE)&amp;" ' );",""),"")</f>
        <v/>
      </c>
    </row>
    <row r="254" spans="1:18" x14ac:dyDescent="0.25">
      <c r="A254">
        <v>10741</v>
      </c>
      <c r="B254" t="s">
        <v>673</v>
      </c>
      <c r="C254" t="s">
        <v>282</v>
      </c>
      <c r="D254" t="s">
        <v>411</v>
      </c>
      <c r="E254" t="s">
        <v>252</v>
      </c>
      <c r="F254">
        <v>136</v>
      </c>
      <c r="H254" s="2">
        <f>COUNTIF(K:K,A254)</f>
        <v>1</v>
      </c>
      <c r="I254" s="2">
        <f t="shared" si="3"/>
        <v>0</v>
      </c>
      <c r="K254">
        <v>10806</v>
      </c>
      <c r="L254" t="s">
        <v>672</v>
      </c>
      <c r="M254" t="s">
        <v>275</v>
      </c>
      <c r="N254">
        <v>12</v>
      </c>
      <c r="O254" t="s">
        <v>252</v>
      </c>
      <c r="P254">
        <v>50</v>
      </c>
      <c r="R254" t="str">
        <f ca="1">IFERROR(IF(VLOOKUP(K254,A:F,6,FALSE)&lt;&gt;P254,"INSERT INTO playerTPEHistory ( playerID, playerTPE, historyDate, historySeason, historyWeek, historyLeague ) VALUES ("&amp;K254&amp;", "&amp;F254&amp;", '"&amp;TEXT(NOW(),"yyyy-mm-dd")&amp;"', "&amp;$E$1&amp;", "&amp;$G$1&amp;", '"&amp;VLOOKUP(E254,Index!B:C,2,FALSE)&amp;" ' );",""),"")</f>
        <v/>
      </c>
    </row>
    <row r="255" spans="1:18" x14ac:dyDescent="0.25">
      <c r="A255">
        <v>12606</v>
      </c>
      <c r="B255" t="s">
        <v>674</v>
      </c>
      <c r="C255" t="s">
        <v>276</v>
      </c>
      <c r="D255" t="s">
        <v>621</v>
      </c>
      <c r="E255" t="s">
        <v>253</v>
      </c>
      <c r="F255">
        <v>55</v>
      </c>
      <c r="H255" s="2">
        <f>COUNTIF(K:K,A255)</f>
        <v>1</v>
      </c>
      <c r="I255" s="2">
        <f t="shared" si="3"/>
        <v>0</v>
      </c>
      <c r="K255">
        <v>10741</v>
      </c>
      <c r="L255" t="s">
        <v>673</v>
      </c>
      <c r="M255" t="s">
        <v>282</v>
      </c>
      <c r="N255">
        <v>12</v>
      </c>
      <c r="O255" t="s">
        <v>252</v>
      </c>
      <c r="P255">
        <v>136</v>
      </c>
      <c r="R255" t="str">
        <f ca="1">IFERROR(IF(VLOOKUP(K255,A:F,6,FALSE)&lt;&gt;P255,"INSERT INTO playerTPEHistory ( playerID, playerTPE, historyDate, historySeason, historyWeek, historyLeague ) VALUES ("&amp;K255&amp;", "&amp;F255&amp;", '"&amp;TEXT(NOW(),"yyyy-mm-dd")&amp;"', "&amp;$E$1&amp;", "&amp;$G$1&amp;", '"&amp;VLOOKUP(E255,Index!B:C,2,FALSE)&amp;" ' );",""),"")</f>
        <v/>
      </c>
    </row>
    <row r="256" spans="1:18" x14ac:dyDescent="0.25">
      <c r="A256">
        <v>12381</v>
      </c>
      <c r="B256" t="s">
        <v>675</v>
      </c>
      <c r="C256" t="s">
        <v>277</v>
      </c>
      <c r="D256" t="s">
        <v>621</v>
      </c>
      <c r="E256" t="s">
        <v>253</v>
      </c>
      <c r="F256">
        <v>50</v>
      </c>
      <c r="H256" s="2">
        <f>COUNTIF(K:K,A256)</f>
        <v>1</v>
      </c>
      <c r="I256" s="2">
        <f t="shared" si="3"/>
        <v>0</v>
      </c>
      <c r="K256">
        <v>10470</v>
      </c>
      <c r="L256" t="s">
        <v>753</v>
      </c>
      <c r="M256" t="s">
        <v>274</v>
      </c>
      <c r="N256">
        <v>12</v>
      </c>
      <c r="O256" t="s">
        <v>252</v>
      </c>
      <c r="P256">
        <v>95</v>
      </c>
      <c r="R256" t="str">
        <f ca="1">IFERROR(IF(VLOOKUP(K256,A:F,6,FALSE)&lt;&gt;P256,"INSERT INTO playerTPEHistory ( playerID, playerTPE, historyDate, historySeason, historyWeek, historyLeague ) VALUES ("&amp;K256&amp;", "&amp;F256&amp;", '"&amp;TEXT(NOW(),"yyyy-mm-dd")&amp;"', "&amp;$E$1&amp;", "&amp;$G$1&amp;", '"&amp;VLOOKUP(E256,Index!B:C,2,FALSE)&amp;" ' );",""),"")</f>
        <v/>
      </c>
    </row>
    <row r="257" spans="1:18" x14ac:dyDescent="0.25">
      <c r="A257">
        <v>12364</v>
      </c>
      <c r="B257" t="s">
        <v>676</v>
      </c>
      <c r="C257" t="s">
        <v>278</v>
      </c>
      <c r="D257" t="s">
        <v>621</v>
      </c>
      <c r="E257" t="s">
        <v>253</v>
      </c>
      <c r="F257">
        <v>166</v>
      </c>
      <c r="H257" s="2">
        <f>COUNTIF(K:K,A257)</f>
        <v>1</v>
      </c>
      <c r="I257" s="2">
        <f t="shared" si="3"/>
        <v>0</v>
      </c>
      <c r="K257">
        <v>12606</v>
      </c>
      <c r="L257" t="s">
        <v>674</v>
      </c>
      <c r="M257" t="s">
        <v>276</v>
      </c>
      <c r="N257">
        <v>15</v>
      </c>
      <c r="O257" t="s">
        <v>253</v>
      </c>
      <c r="P257">
        <v>55</v>
      </c>
      <c r="R257" t="str">
        <f ca="1">IFERROR(IF(VLOOKUP(K257,A:F,6,FALSE)&lt;&gt;P257,"INSERT INTO playerTPEHistory ( playerID, playerTPE, historyDate, historySeason, historyWeek, historyLeague ) VALUES ("&amp;K257&amp;", "&amp;F257&amp;", '"&amp;TEXT(NOW(),"yyyy-mm-dd")&amp;"', "&amp;$E$1&amp;", "&amp;$G$1&amp;", '"&amp;VLOOKUP(E257,Index!B:C,2,FALSE)&amp;" ' );",""),"")</f>
        <v/>
      </c>
    </row>
    <row r="258" spans="1:18" x14ac:dyDescent="0.25">
      <c r="A258">
        <v>12363</v>
      </c>
      <c r="B258" t="s">
        <v>677</v>
      </c>
      <c r="C258" t="s">
        <v>275</v>
      </c>
      <c r="D258" t="s">
        <v>621</v>
      </c>
      <c r="E258" t="s">
        <v>253</v>
      </c>
      <c r="F258">
        <v>73</v>
      </c>
      <c r="H258" s="2">
        <f>COUNTIF(K:K,A258)</f>
        <v>1</v>
      </c>
      <c r="I258" s="2">
        <f t="shared" si="3"/>
        <v>0</v>
      </c>
      <c r="K258">
        <v>12381</v>
      </c>
      <c r="L258" t="s">
        <v>675</v>
      </c>
      <c r="M258" t="s">
        <v>277</v>
      </c>
      <c r="N258">
        <v>15</v>
      </c>
      <c r="O258" t="s">
        <v>253</v>
      </c>
      <c r="P258">
        <v>50</v>
      </c>
      <c r="R258" t="str">
        <f ca="1">IFERROR(IF(VLOOKUP(K258,A:F,6,FALSE)&lt;&gt;P258,"INSERT INTO playerTPEHistory ( playerID, playerTPE, historyDate, historySeason, historyWeek, historyLeague ) VALUES ("&amp;K258&amp;", "&amp;F258&amp;", '"&amp;TEXT(NOW(),"yyyy-mm-dd")&amp;"', "&amp;$E$1&amp;", "&amp;$G$1&amp;", '"&amp;VLOOKUP(E258,Index!B:C,2,FALSE)&amp;" ' );",""),"")</f>
        <v/>
      </c>
    </row>
    <row r="259" spans="1:18" x14ac:dyDescent="0.25">
      <c r="A259">
        <v>12283</v>
      </c>
      <c r="B259" t="s">
        <v>678</v>
      </c>
      <c r="C259" t="s">
        <v>275</v>
      </c>
      <c r="D259" t="s">
        <v>621</v>
      </c>
      <c r="E259" t="s">
        <v>253</v>
      </c>
      <c r="F259">
        <v>154</v>
      </c>
      <c r="H259" s="2">
        <f>COUNTIF(K:K,A259)</f>
        <v>1</v>
      </c>
      <c r="I259" s="2">
        <f t="shared" ref="I259:I322" si="4">IF(COUNTIF(A:A,K259)=0,1,0)</f>
        <v>0</v>
      </c>
      <c r="K259">
        <v>12364</v>
      </c>
      <c r="L259" t="s">
        <v>676</v>
      </c>
      <c r="M259" t="s">
        <v>278</v>
      </c>
      <c r="N259">
        <v>15</v>
      </c>
      <c r="O259" t="s">
        <v>253</v>
      </c>
      <c r="P259">
        <v>147</v>
      </c>
      <c r="R259" t="str">
        <f ca="1">IFERROR(IF(VLOOKUP(K259,A:F,6,FALSE)&lt;&gt;P259,"INSERT INTO playerTPEHistory ( playerID, playerTPE, historyDate, historySeason, historyWeek, historyLeague ) VALUES ("&amp;K259&amp;", "&amp;F259&amp;", '"&amp;TEXT(NOW(),"yyyy-mm-dd")&amp;"', "&amp;$E$1&amp;", "&amp;$G$1&amp;", '"&amp;VLOOKUP(E259,Index!B:C,2,FALSE)&amp;" ' );",""),"")</f>
        <v>INSERT INTO playerTPEHistory ( playerID, playerTPE, historyDate, historySeason, historyWeek, historyLeague ) VALUES (12364, 154, '2019-04-01', 14, 4, 'DSFL ' );</v>
      </c>
    </row>
    <row r="260" spans="1:18" x14ac:dyDescent="0.25">
      <c r="A260">
        <v>12276</v>
      </c>
      <c r="B260" t="s">
        <v>679</v>
      </c>
      <c r="C260" t="s">
        <v>278</v>
      </c>
      <c r="D260" t="s">
        <v>621</v>
      </c>
      <c r="E260" t="s">
        <v>253</v>
      </c>
      <c r="F260">
        <v>50</v>
      </c>
      <c r="H260" s="2">
        <f>COUNTIF(K:K,A260)</f>
        <v>1</v>
      </c>
      <c r="I260" s="2">
        <f t="shared" si="4"/>
        <v>0</v>
      </c>
      <c r="K260">
        <v>12363</v>
      </c>
      <c r="L260" t="s">
        <v>677</v>
      </c>
      <c r="M260" t="s">
        <v>275</v>
      </c>
      <c r="N260">
        <v>15</v>
      </c>
      <c r="O260" t="s">
        <v>253</v>
      </c>
      <c r="P260">
        <v>50</v>
      </c>
      <c r="R260" t="str">
        <f ca="1">IFERROR(IF(VLOOKUP(K260,A:F,6,FALSE)&lt;&gt;P260,"INSERT INTO playerTPEHistory ( playerID, playerTPE, historyDate, historySeason, historyWeek, historyLeague ) VALUES ("&amp;K260&amp;", "&amp;F260&amp;", '"&amp;TEXT(NOW(),"yyyy-mm-dd")&amp;"', "&amp;$E$1&amp;", "&amp;$G$1&amp;", '"&amp;VLOOKUP(E260,Index!B:C,2,FALSE)&amp;" ' );",""),"")</f>
        <v>INSERT INTO playerTPEHistory ( playerID, playerTPE, historyDate, historySeason, historyWeek, historyLeague ) VALUES (12363, 50, '2019-04-01', 14, 4, 'DSFL ' );</v>
      </c>
    </row>
    <row r="261" spans="1:18" x14ac:dyDescent="0.25">
      <c r="A261">
        <v>12258</v>
      </c>
      <c r="B261" t="s">
        <v>680</v>
      </c>
      <c r="C261" t="s">
        <v>282</v>
      </c>
      <c r="D261" t="s">
        <v>621</v>
      </c>
      <c r="E261" t="s">
        <v>253</v>
      </c>
      <c r="F261">
        <v>67</v>
      </c>
      <c r="H261" s="2">
        <f>COUNTIF(K:K,A261)</f>
        <v>1</v>
      </c>
      <c r="I261" s="2">
        <f t="shared" si="4"/>
        <v>0</v>
      </c>
      <c r="K261">
        <v>12283</v>
      </c>
      <c r="L261" t="s">
        <v>678</v>
      </c>
      <c r="M261" t="s">
        <v>275</v>
      </c>
      <c r="N261">
        <v>15</v>
      </c>
      <c r="O261" t="s">
        <v>253</v>
      </c>
      <c r="P261">
        <v>113</v>
      </c>
      <c r="R261" t="str">
        <f ca="1">IFERROR(IF(VLOOKUP(K261,A:F,6,FALSE)&lt;&gt;P261,"INSERT INTO playerTPEHistory ( playerID, playerTPE, historyDate, historySeason, historyWeek, historyLeague ) VALUES ("&amp;K261&amp;", "&amp;F261&amp;", '"&amp;TEXT(NOW(),"yyyy-mm-dd")&amp;"', "&amp;$E$1&amp;", "&amp;$G$1&amp;", '"&amp;VLOOKUP(E261,Index!B:C,2,FALSE)&amp;" ' );",""),"")</f>
        <v>INSERT INTO playerTPEHistory ( playerID, playerTPE, historyDate, historySeason, historyWeek, historyLeague ) VALUES (12283, 67, '2019-04-01', 14, 4, 'DSFL ' );</v>
      </c>
    </row>
    <row r="262" spans="1:18" x14ac:dyDescent="0.25">
      <c r="A262">
        <v>12252</v>
      </c>
      <c r="B262" t="s">
        <v>681</v>
      </c>
      <c r="C262" t="s">
        <v>281</v>
      </c>
      <c r="D262" t="s">
        <v>621</v>
      </c>
      <c r="E262" t="s">
        <v>253</v>
      </c>
      <c r="F262">
        <v>82</v>
      </c>
      <c r="H262" s="2">
        <f>COUNTIF(K:K,A262)</f>
        <v>1</v>
      </c>
      <c r="I262" s="2">
        <f t="shared" si="4"/>
        <v>0</v>
      </c>
      <c r="K262">
        <v>12276</v>
      </c>
      <c r="L262" t="s">
        <v>679</v>
      </c>
      <c r="M262" t="s">
        <v>278</v>
      </c>
      <c r="N262">
        <v>15</v>
      </c>
      <c r="O262" t="s">
        <v>253</v>
      </c>
      <c r="P262">
        <v>50</v>
      </c>
      <c r="R262" t="str">
        <f ca="1">IFERROR(IF(VLOOKUP(K262,A:F,6,FALSE)&lt;&gt;P262,"INSERT INTO playerTPEHistory ( playerID, playerTPE, historyDate, historySeason, historyWeek, historyLeague ) VALUES ("&amp;K262&amp;", "&amp;F262&amp;", '"&amp;TEXT(NOW(),"yyyy-mm-dd")&amp;"', "&amp;$E$1&amp;", "&amp;$G$1&amp;", '"&amp;VLOOKUP(E262,Index!B:C,2,FALSE)&amp;" ' );",""),"")</f>
        <v/>
      </c>
    </row>
    <row r="263" spans="1:18" x14ac:dyDescent="0.25">
      <c r="A263">
        <v>12228</v>
      </c>
      <c r="B263" t="s">
        <v>682</v>
      </c>
      <c r="C263" t="s">
        <v>281</v>
      </c>
      <c r="D263" t="s">
        <v>621</v>
      </c>
      <c r="E263" t="s">
        <v>253</v>
      </c>
      <c r="F263">
        <v>57</v>
      </c>
      <c r="H263" s="2">
        <f>COUNTIF(K:K,A263)</f>
        <v>1</v>
      </c>
      <c r="I263" s="2">
        <f t="shared" si="4"/>
        <v>0</v>
      </c>
      <c r="K263">
        <v>12258</v>
      </c>
      <c r="L263" t="s">
        <v>680</v>
      </c>
      <c r="M263" t="s">
        <v>282</v>
      </c>
      <c r="N263">
        <v>15</v>
      </c>
      <c r="O263" t="s">
        <v>253</v>
      </c>
      <c r="P263">
        <v>67</v>
      </c>
      <c r="R263" t="str">
        <f ca="1">IFERROR(IF(VLOOKUP(K263,A:F,6,FALSE)&lt;&gt;P263,"INSERT INTO playerTPEHistory ( playerID, playerTPE, historyDate, historySeason, historyWeek, historyLeague ) VALUES ("&amp;K263&amp;", "&amp;F263&amp;", '"&amp;TEXT(NOW(),"yyyy-mm-dd")&amp;"', "&amp;$E$1&amp;", "&amp;$G$1&amp;", '"&amp;VLOOKUP(E263,Index!B:C,2,FALSE)&amp;" ' );",""),"")</f>
        <v/>
      </c>
    </row>
    <row r="264" spans="1:18" x14ac:dyDescent="0.25">
      <c r="A264">
        <v>12191</v>
      </c>
      <c r="B264" t="s">
        <v>683</v>
      </c>
      <c r="C264" t="s">
        <v>282</v>
      </c>
      <c r="D264" t="s">
        <v>621</v>
      </c>
      <c r="E264" t="s">
        <v>253</v>
      </c>
      <c r="F264">
        <v>168</v>
      </c>
      <c r="H264" s="2">
        <f>COUNTIF(K:K,A264)</f>
        <v>1</v>
      </c>
      <c r="I264" s="2">
        <f t="shared" si="4"/>
        <v>0</v>
      </c>
      <c r="K264">
        <v>12252</v>
      </c>
      <c r="L264" t="s">
        <v>681</v>
      </c>
      <c r="M264" t="s">
        <v>281</v>
      </c>
      <c r="N264">
        <v>15</v>
      </c>
      <c r="O264" t="s">
        <v>253</v>
      </c>
      <c r="P264">
        <v>82</v>
      </c>
      <c r="R264" t="str">
        <f ca="1">IFERROR(IF(VLOOKUP(K264,A:F,6,FALSE)&lt;&gt;P264,"INSERT INTO playerTPEHistory ( playerID, playerTPE, historyDate, historySeason, historyWeek, historyLeague ) VALUES ("&amp;K264&amp;", "&amp;F264&amp;", '"&amp;TEXT(NOW(),"yyyy-mm-dd")&amp;"', "&amp;$E$1&amp;", "&amp;$G$1&amp;", '"&amp;VLOOKUP(E264,Index!B:C,2,FALSE)&amp;" ' );",""),"")</f>
        <v/>
      </c>
    </row>
    <row r="265" spans="1:18" x14ac:dyDescent="0.25">
      <c r="A265">
        <v>12186</v>
      </c>
      <c r="B265" t="s">
        <v>684</v>
      </c>
      <c r="C265" t="s">
        <v>280</v>
      </c>
      <c r="D265" t="s">
        <v>621</v>
      </c>
      <c r="E265" t="s">
        <v>253</v>
      </c>
      <c r="F265">
        <v>155</v>
      </c>
      <c r="H265" s="2">
        <f>COUNTIF(K:K,A265)</f>
        <v>1</v>
      </c>
      <c r="I265" s="2">
        <f t="shared" si="4"/>
        <v>0</v>
      </c>
      <c r="K265">
        <v>12228</v>
      </c>
      <c r="L265" t="s">
        <v>682</v>
      </c>
      <c r="M265" t="s">
        <v>281</v>
      </c>
      <c r="N265">
        <v>15</v>
      </c>
      <c r="O265" t="s">
        <v>253</v>
      </c>
      <c r="P265">
        <v>57</v>
      </c>
      <c r="R265" t="str">
        <f ca="1">IFERROR(IF(VLOOKUP(K265,A:F,6,FALSE)&lt;&gt;P265,"INSERT INTO playerTPEHistory ( playerID, playerTPE, historyDate, historySeason, historyWeek, historyLeague ) VALUES ("&amp;K265&amp;", "&amp;F265&amp;", '"&amp;TEXT(NOW(),"yyyy-mm-dd")&amp;"', "&amp;$E$1&amp;", "&amp;$G$1&amp;", '"&amp;VLOOKUP(E265,Index!B:C,2,FALSE)&amp;" ' );",""),"")</f>
        <v/>
      </c>
    </row>
    <row r="266" spans="1:18" x14ac:dyDescent="0.25">
      <c r="A266">
        <v>12164</v>
      </c>
      <c r="B266" t="s">
        <v>685</v>
      </c>
      <c r="C266" t="s">
        <v>278</v>
      </c>
      <c r="D266" t="s">
        <v>621</v>
      </c>
      <c r="E266" t="s">
        <v>253</v>
      </c>
      <c r="F266">
        <v>59</v>
      </c>
      <c r="H266" s="2">
        <f>COUNTIF(K:K,A266)</f>
        <v>1</v>
      </c>
      <c r="I266" s="2">
        <f t="shared" si="4"/>
        <v>0</v>
      </c>
      <c r="K266">
        <v>12191</v>
      </c>
      <c r="L266" t="s">
        <v>683</v>
      </c>
      <c r="M266" t="s">
        <v>282</v>
      </c>
      <c r="N266">
        <v>15</v>
      </c>
      <c r="O266" t="s">
        <v>253</v>
      </c>
      <c r="P266">
        <v>157</v>
      </c>
      <c r="R266" t="str">
        <f ca="1">IFERROR(IF(VLOOKUP(K266,A:F,6,FALSE)&lt;&gt;P266,"INSERT INTO playerTPEHistory ( playerID, playerTPE, historyDate, historySeason, historyWeek, historyLeague ) VALUES ("&amp;K266&amp;", "&amp;F266&amp;", '"&amp;TEXT(NOW(),"yyyy-mm-dd")&amp;"', "&amp;$E$1&amp;", "&amp;$G$1&amp;", '"&amp;VLOOKUP(E266,Index!B:C,2,FALSE)&amp;" ' );",""),"")</f>
        <v>INSERT INTO playerTPEHistory ( playerID, playerTPE, historyDate, historySeason, historyWeek, historyLeague ) VALUES (12191, 59, '2019-04-01', 14, 4, 'DSFL ' );</v>
      </c>
    </row>
    <row r="267" spans="1:18" x14ac:dyDescent="0.25">
      <c r="A267">
        <v>12144</v>
      </c>
      <c r="B267" t="s">
        <v>686</v>
      </c>
      <c r="C267" t="s">
        <v>276</v>
      </c>
      <c r="D267" t="s">
        <v>621</v>
      </c>
      <c r="E267" t="s">
        <v>253</v>
      </c>
      <c r="F267">
        <v>50</v>
      </c>
      <c r="H267" s="2">
        <f>COUNTIF(K:K,A267)</f>
        <v>1</v>
      </c>
      <c r="I267" s="2">
        <f t="shared" si="4"/>
        <v>0</v>
      </c>
      <c r="K267">
        <v>12186</v>
      </c>
      <c r="L267" t="s">
        <v>684</v>
      </c>
      <c r="M267" t="s">
        <v>280</v>
      </c>
      <c r="N267">
        <v>15</v>
      </c>
      <c r="O267" t="s">
        <v>253</v>
      </c>
      <c r="P267">
        <v>144</v>
      </c>
      <c r="R267" t="str">
        <f ca="1">IFERROR(IF(VLOOKUP(K267,A:F,6,FALSE)&lt;&gt;P267,"INSERT INTO playerTPEHistory ( playerID, playerTPE, historyDate, historySeason, historyWeek, historyLeague ) VALUES ("&amp;K267&amp;", "&amp;F267&amp;", '"&amp;TEXT(NOW(),"yyyy-mm-dd")&amp;"', "&amp;$E$1&amp;", "&amp;$G$1&amp;", '"&amp;VLOOKUP(E267,Index!B:C,2,FALSE)&amp;" ' );",""),"")</f>
        <v>INSERT INTO playerTPEHistory ( playerID, playerTPE, historyDate, historySeason, historyWeek, historyLeague ) VALUES (12186, 50, '2019-04-01', 14, 4, 'DSFL ' );</v>
      </c>
    </row>
    <row r="268" spans="1:18" x14ac:dyDescent="0.25">
      <c r="A268">
        <v>12109</v>
      </c>
      <c r="B268" t="s">
        <v>687</v>
      </c>
      <c r="C268" t="s">
        <v>277</v>
      </c>
      <c r="D268" t="s">
        <v>621</v>
      </c>
      <c r="E268" t="s">
        <v>253</v>
      </c>
      <c r="F268">
        <v>146</v>
      </c>
      <c r="H268" s="2">
        <f>COUNTIF(K:K,A268)</f>
        <v>1</v>
      </c>
      <c r="I268" s="2">
        <f t="shared" si="4"/>
        <v>0</v>
      </c>
      <c r="K268">
        <v>12164</v>
      </c>
      <c r="L268" t="s">
        <v>685</v>
      </c>
      <c r="M268" t="s">
        <v>278</v>
      </c>
      <c r="N268">
        <v>15</v>
      </c>
      <c r="O268" t="s">
        <v>253</v>
      </c>
      <c r="P268">
        <v>59</v>
      </c>
      <c r="R268" t="str">
        <f ca="1">IFERROR(IF(VLOOKUP(K268,A:F,6,FALSE)&lt;&gt;P268,"INSERT INTO playerTPEHistory ( playerID, playerTPE, historyDate, historySeason, historyWeek, historyLeague ) VALUES ("&amp;K268&amp;", "&amp;F268&amp;", '"&amp;TEXT(NOW(),"yyyy-mm-dd")&amp;"', "&amp;$E$1&amp;", "&amp;$G$1&amp;", '"&amp;VLOOKUP(E268,Index!B:C,2,FALSE)&amp;" ' );",""),"")</f>
        <v/>
      </c>
    </row>
    <row r="269" spans="1:18" x14ac:dyDescent="0.25">
      <c r="A269">
        <v>12113</v>
      </c>
      <c r="B269" t="s">
        <v>688</v>
      </c>
      <c r="C269" t="s">
        <v>277</v>
      </c>
      <c r="D269" t="s">
        <v>621</v>
      </c>
      <c r="E269" t="s">
        <v>253</v>
      </c>
      <c r="F269">
        <v>148</v>
      </c>
      <c r="H269" s="2">
        <f>COUNTIF(K:K,A269)</f>
        <v>1</v>
      </c>
      <c r="I269" s="2">
        <f t="shared" si="4"/>
        <v>0</v>
      </c>
      <c r="K269">
        <v>12144</v>
      </c>
      <c r="L269" t="s">
        <v>686</v>
      </c>
      <c r="M269" t="s">
        <v>276</v>
      </c>
      <c r="N269">
        <v>15</v>
      </c>
      <c r="O269" t="s">
        <v>253</v>
      </c>
      <c r="P269">
        <v>50</v>
      </c>
      <c r="R269" t="str">
        <f ca="1">IFERROR(IF(VLOOKUP(K269,A:F,6,FALSE)&lt;&gt;P269,"INSERT INTO playerTPEHistory ( playerID, playerTPE, historyDate, historySeason, historyWeek, historyLeague ) VALUES ("&amp;K269&amp;", "&amp;F269&amp;", '"&amp;TEXT(NOW(),"yyyy-mm-dd")&amp;"', "&amp;$E$1&amp;", "&amp;$G$1&amp;", '"&amp;VLOOKUP(E269,Index!B:C,2,FALSE)&amp;" ' );",""),"")</f>
        <v/>
      </c>
    </row>
    <row r="270" spans="1:18" x14ac:dyDescent="0.25">
      <c r="A270">
        <v>12034</v>
      </c>
      <c r="B270" t="s">
        <v>689</v>
      </c>
      <c r="C270" t="s">
        <v>275</v>
      </c>
      <c r="D270" t="s">
        <v>621</v>
      </c>
      <c r="E270" t="s">
        <v>253</v>
      </c>
      <c r="F270">
        <v>64</v>
      </c>
      <c r="H270" s="2">
        <f>COUNTIF(K:K,A270)</f>
        <v>1</v>
      </c>
      <c r="I270" s="2">
        <f t="shared" si="4"/>
        <v>0</v>
      </c>
      <c r="K270">
        <v>12109</v>
      </c>
      <c r="L270" t="s">
        <v>687</v>
      </c>
      <c r="M270" t="s">
        <v>277</v>
      </c>
      <c r="N270">
        <v>15</v>
      </c>
      <c r="O270" t="s">
        <v>253</v>
      </c>
      <c r="P270">
        <v>127</v>
      </c>
      <c r="R270" t="str">
        <f ca="1">IFERROR(IF(VLOOKUP(K270,A:F,6,FALSE)&lt;&gt;P270,"INSERT INTO playerTPEHistory ( playerID, playerTPE, historyDate, historySeason, historyWeek, historyLeague ) VALUES ("&amp;K270&amp;", "&amp;F270&amp;", '"&amp;TEXT(NOW(),"yyyy-mm-dd")&amp;"', "&amp;$E$1&amp;", "&amp;$G$1&amp;", '"&amp;VLOOKUP(E270,Index!B:C,2,FALSE)&amp;" ' );",""),"")</f>
        <v>INSERT INTO playerTPEHistory ( playerID, playerTPE, historyDate, historySeason, historyWeek, historyLeague ) VALUES (12109, 64, '2019-04-01', 14, 4, 'DSFL ' );</v>
      </c>
    </row>
    <row r="271" spans="1:18" x14ac:dyDescent="0.25">
      <c r="A271">
        <v>11947</v>
      </c>
      <c r="B271" t="s">
        <v>690</v>
      </c>
      <c r="C271" t="s">
        <v>276</v>
      </c>
      <c r="D271" t="s">
        <v>486</v>
      </c>
      <c r="E271" t="s">
        <v>253</v>
      </c>
      <c r="F271">
        <v>50</v>
      </c>
      <c r="H271" s="2">
        <f>COUNTIF(K:K,A271)</f>
        <v>1</v>
      </c>
      <c r="I271" s="2">
        <f t="shared" si="4"/>
        <v>0</v>
      </c>
      <c r="K271">
        <v>12113</v>
      </c>
      <c r="L271" t="s">
        <v>688</v>
      </c>
      <c r="M271" t="s">
        <v>277</v>
      </c>
      <c r="N271">
        <v>15</v>
      </c>
      <c r="O271" t="s">
        <v>253</v>
      </c>
      <c r="P271">
        <v>113</v>
      </c>
      <c r="R271" t="str">
        <f ca="1">IFERROR(IF(VLOOKUP(K271,A:F,6,FALSE)&lt;&gt;P271,"INSERT INTO playerTPEHistory ( playerID, playerTPE, historyDate, historySeason, historyWeek, historyLeague ) VALUES ("&amp;K271&amp;", "&amp;F271&amp;", '"&amp;TEXT(NOW(),"yyyy-mm-dd")&amp;"', "&amp;$E$1&amp;", "&amp;$G$1&amp;", '"&amp;VLOOKUP(E271,Index!B:C,2,FALSE)&amp;" ' );",""),"")</f>
        <v>INSERT INTO playerTPEHistory ( playerID, playerTPE, historyDate, historySeason, historyWeek, historyLeague ) VALUES (12113, 50, '2019-04-01', 14, 4, 'DSFL ' );</v>
      </c>
    </row>
    <row r="272" spans="1:18" x14ac:dyDescent="0.25">
      <c r="A272">
        <v>11775</v>
      </c>
      <c r="B272" t="s">
        <v>691</v>
      </c>
      <c r="C272" t="s">
        <v>277</v>
      </c>
      <c r="D272" t="s">
        <v>486</v>
      </c>
      <c r="E272" t="s">
        <v>253</v>
      </c>
      <c r="F272">
        <v>55</v>
      </c>
      <c r="H272" s="2">
        <f>COUNTIF(K:K,A272)</f>
        <v>1</v>
      </c>
      <c r="I272" s="2">
        <f t="shared" si="4"/>
        <v>0</v>
      </c>
      <c r="K272">
        <v>12034</v>
      </c>
      <c r="L272" t="s">
        <v>689</v>
      </c>
      <c r="M272" t="s">
        <v>275</v>
      </c>
      <c r="N272">
        <v>15</v>
      </c>
      <c r="O272" t="s">
        <v>253</v>
      </c>
      <c r="P272">
        <v>64</v>
      </c>
      <c r="R272" t="str">
        <f ca="1">IFERROR(IF(VLOOKUP(K272,A:F,6,FALSE)&lt;&gt;P272,"INSERT INTO playerTPEHistory ( playerID, playerTPE, historyDate, historySeason, historyWeek, historyLeague ) VALUES ("&amp;K272&amp;", "&amp;F272&amp;", '"&amp;TEXT(NOW(),"yyyy-mm-dd")&amp;"', "&amp;$E$1&amp;", "&amp;$G$1&amp;", '"&amp;VLOOKUP(E272,Index!B:C,2,FALSE)&amp;" ' );",""),"")</f>
        <v/>
      </c>
    </row>
    <row r="273" spans="1:18" x14ac:dyDescent="0.25">
      <c r="A273">
        <v>11764</v>
      </c>
      <c r="B273" t="s">
        <v>692</v>
      </c>
      <c r="C273" t="s">
        <v>278</v>
      </c>
      <c r="D273" t="s">
        <v>486</v>
      </c>
      <c r="E273" t="s">
        <v>253</v>
      </c>
      <c r="F273">
        <v>50</v>
      </c>
      <c r="H273" s="2">
        <f>COUNTIF(K:K,A273)</f>
        <v>1</v>
      </c>
      <c r="I273" s="2">
        <f t="shared" si="4"/>
        <v>0</v>
      </c>
      <c r="K273">
        <v>11947</v>
      </c>
      <c r="L273" t="s">
        <v>690</v>
      </c>
      <c r="M273" t="s">
        <v>276</v>
      </c>
      <c r="N273">
        <v>14</v>
      </c>
      <c r="O273" t="s">
        <v>253</v>
      </c>
      <c r="P273">
        <v>50</v>
      </c>
      <c r="R273" t="str">
        <f ca="1">IFERROR(IF(VLOOKUP(K273,A:F,6,FALSE)&lt;&gt;P273,"INSERT INTO playerTPEHistory ( playerID, playerTPE, historyDate, historySeason, historyWeek, historyLeague ) VALUES ("&amp;K273&amp;", "&amp;F273&amp;", '"&amp;TEXT(NOW(),"yyyy-mm-dd")&amp;"', "&amp;$E$1&amp;", "&amp;$G$1&amp;", '"&amp;VLOOKUP(E273,Index!B:C,2,FALSE)&amp;" ' );",""),"")</f>
        <v/>
      </c>
    </row>
    <row r="274" spans="1:18" x14ac:dyDescent="0.25">
      <c r="A274">
        <v>11747</v>
      </c>
      <c r="B274" t="s">
        <v>693</v>
      </c>
      <c r="C274" t="s">
        <v>281</v>
      </c>
      <c r="D274" t="s">
        <v>486</v>
      </c>
      <c r="E274" t="s">
        <v>253</v>
      </c>
      <c r="F274">
        <v>79</v>
      </c>
      <c r="H274" s="2">
        <f>COUNTIF(K:K,A274)</f>
        <v>1</v>
      </c>
      <c r="I274" s="2">
        <f t="shared" si="4"/>
        <v>0</v>
      </c>
      <c r="K274">
        <v>11775</v>
      </c>
      <c r="L274" t="s">
        <v>691</v>
      </c>
      <c r="M274" t="s">
        <v>277</v>
      </c>
      <c r="N274">
        <v>14</v>
      </c>
      <c r="O274" t="s">
        <v>253</v>
      </c>
      <c r="P274">
        <v>55</v>
      </c>
      <c r="R274" t="str">
        <f ca="1">IFERROR(IF(VLOOKUP(K274,A:F,6,FALSE)&lt;&gt;P274,"INSERT INTO playerTPEHistory ( playerID, playerTPE, historyDate, historySeason, historyWeek, historyLeague ) VALUES ("&amp;K274&amp;", "&amp;F274&amp;", '"&amp;TEXT(NOW(),"yyyy-mm-dd")&amp;"', "&amp;$E$1&amp;", "&amp;$G$1&amp;", '"&amp;VLOOKUP(E274,Index!B:C,2,FALSE)&amp;" ' );",""),"")</f>
        <v/>
      </c>
    </row>
    <row r="275" spans="1:18" x14ac:dyDescent="0.25">
      <c r="A275">
        <v>11706</v>
      </c>
      <c r="B275" t="s">
        <v>694</v>
      </c>
      <c r="C275" t="s">
        <v>278</v>
      </c>
      <c r="D275" t="s">
        <v>486</v>
      </c>
      <c r="E275" t="s">
        <v>253</v>
      </c>
      <c r="F275">
        <v>197</v>
      </c>
      <c r="H275" s="2">
        <f>COUNTIF(K:K,A275)</f>
        <v>1</v>
      </c>
      <c r="I275" s="2">
        <f t="shared" si="4"/>
        <v>0</v>
      </c>
      <c r="K275">
        <v>11764</v>
      </c>
      <c r="L275" t="s">
        <v>692</v>
      </c>
      <c r="M275" t="s">
        <v>278</v>
      </c>
      <c r="N275">
        <v>14</v>
      </c>
      <c r="O275" t="s">
        <v>253</v>
      </c>
      <c r="P275">
        <v>50</v>
      </c>
      <c r="R275" t="str">
        <f ca="1">IFERROR(IF(VLOOKUP(K275,A:F,6,FALSE)&lt;&gt;P275,"INSERT INTO playerTPEHistory ( playerID, playerTPE, historyDate, historySeason, historyWeek, historyLeague ) VALUES ("&amp;K275&amp;", "&amp;F275&amp;", '"&amp;TEXT(NOW(),"yyyy-mm-dd")&amp;"', "&amp;$E$1&amp;", "&amp;$G$1&amp;", '"&amp;VLOOKUP(E275,Index!B:C,2,FALSE)&amp;" ' );",""),"")</f>
        <v/>
      </c>
    </row>
    <row r="276" spans="1:18" x14ac:dyDescent="0.25">
      <c r="A276">
        <v>11587</v>
      </c>
      <c r="B276" t="s">
        <v>695</v>
      </c>
      <c r="C276" t="s">
        <v>283</v>
      </c>
      <c r="D276" t="s">
        <v>486</v>
      </c>
      <c r="E276" t="s">
        <v>253</v>
      </c>
      <c r="F276">
        <v>347</v>
      </c>
      <c r="H276" s="2">
        <f>COUNTIF(K:K,A276)</f>
        <v>1</v>
      </c>
      <c r="I276" s="2">
        <f t="shared" si="4"/>
        <v>0</v>
      </c>
      <c r="K276">
        <v>11747</v>
      </c>
      <c r="L276" t="s">
        <v>693</v>
      </c>
      <c r="M276" t="s">
        <v>281</v>
      </c>
      <c r="N276">
        <v>14</v>
      </c>
      <c r="O276" t="s">
        <v>253</v>
      </c>
      <c r="P276">
        <v>79</v>
      </c>
      <c r="R276" t="str">
        <f ca="1">IFERROR(IF(VLOOKUP(K276,A:F,6,FALSE)&lt;&gt;P276,"INSERT INTO playerTPEHistory ( playerID, playerTPE, historyDate, historySeason, historyWeek, historyLeague ) VALUES ("&amp;K276&amp;", "&amp;F276&amp;", '"&amp;TEXT(NOW(),"yyyy-mm-dd")&amp;"', "&amp;$E$1&amp;", "&amp;$G$1&amp;", '"&amp;VLOOKUP(E276,Index!B:C,2,FALSE)&amp;" ' );",""),"")</f>
        <v/>
      </c>
    </row>
    <row r="277" spans="1:18" x14ac:dyDescent="0.25">
      <c r="A277">
        <v>11499</v>
      </c>
      <c r="B277" t="s">
        <v>696</v>
      </c>
      <c r="C277" t="s">
        <v>276</v>
      </c>
      <c r="D277" t="s">
        <v>409</v>
      </c>
      <c r="E277" t="s">
        <v>253</v>
      </c>
      <c r="F277">
        <v>233</v>
      </c>
      <c r="H277" s="2">
        <f>COUNTIF(K:K,A277)</f>
        <v>1</v>
      </c>
      <c r="I277" s="2">
        <f t="shared" si="4"/>
        <v>0</v>
      </c>
      <c r="K277">
        <v>11706</v>
      </c>
      <c r="L277" t="s">
        <v>694</v>
      </c>
      <c r="M277" t="s">
        <v>278</v>
      </c>
      <c r="N277">
        <v>14</v>
      </c>
      <c r="O277" t="s">
        <v>253</v>
      </c>
      <c r="P277">
        <v>158</v>
      </c>
      <c r="R277" t="str">
        <f ca="1">IFERROR(IF(VLOOKUP(K277,A:F,6,FALSE)&lt;&gt;P277,"INSERT INTO playerTPEHistory ( playerID, playerTPE, historyDate, historySeason, historyWeek, historyLeague ) VALUES ("&amp;K277&amp;", "&amp;F277&amp;", '"&amp;TEXT(NOW(),"yyyy-mm-dd")&amp;"', "&amp;$E$1&amp;", "&amp;$G$1&amp;", '"&amp;VLOOKUP(E277,Index!B:C,2,FALSE)&amp;" ' );",""),"")</f>
        <v>INSERT INTO playerTPEHistory ( playerID, playerTPE, historyDate, historySeason, historyWeek, historyLeague ) VALUES (11706, 233, '2019-04-01', 14, 4, 'DSFL ' );</v>
      </c>
    </row>
    <row r="278" spans="1:18" x14ac:dyDescent="0.25">
      <c r="A278">
        <v>10973</v>
      </c>
      <c r="B278" t="s">
        <v>697</v>
      </c>
      <c r="C278" t="s">
        <v>277</v>
      </c>
      <c r="D278" t="s">
        <v>411</v>
      </c>
      <c r="E278" t="s">
        <v>253</v>
      </c>
      <c r="F278">
        <v>148</v>
      </c>
      <c r="H278" s="2">
        <f>COUNTIF(K:K,A278)</f>
        <v>1</v>
      </c>
      <c r="I278" s="2">
        <f t="shared" si="4"/>
        <v>0</v>
      </c>
      <c r="K278">
        <v>11587</v>
      </c>
      <c r="L278" t="s">
        <v>695</v>
      </c>
      <c r="M278" t="s">
        <v>283</v>
      </c>
      <c r="N278">
        <v>14</v>
      </c>
      <c r="O278" t="s">
        <v>253</v>
      </c>
      <c r="P278">
        <v>338</v>
      </c>
      <c r="R278" t="str">
        <f ca="1">IFERROR(IF(VLOOKUP(K278,A:F,6,FALSE)&lt;&gt;P278,"INSERT INTO playerTPEHistory ( playerID, playerTPE, historyDate, historySeason, historyWeek, historyLeague ) VALUES ("&amp;K278&amp;", "&amp;F278&amp;", '"&amp;TEXT(NOW(),"yyyy-mm-dd")&amp;"', "&amp;$E$1&amp;", "&amp;$G$1&amp;", '"&amp;VLOOKUP(E278,Index!B:C,2,FALSE)&amp;" ' );",""),"")</f>
        <v>INSERT INTO playerTPEHistory ( playerID, playerTPE, historyDate, historySeason, historyWeek, historyLeague ) VALUES (11587, 148, '2019-04-01', 14, 4, 'DSFL ' );</v>
      </c>
    </row>
    <row r="279" spans="1:18" x14ac:dyDescent="0.25">
      <c r="A279">
        <v>10516</v>
      </c>
      <c r="B279" t="s">
        <v>698</v>
      </c>
      <c r="C279" t="s">
        <v>281</v>
      </c>
      <c r="D279" t="s">
        <v>411</v>
      </c>
      <c r="E279" t="s">
        <v>253</v>
      </c>
      <c r="F279">
        <v>178</v>
      </c>
      <c r="H279" s="2">
        <f>COUNTIF(K:K,A279)</f>
        <v>1</v>
      </c>
      <c r="I279" s="2">
        <f t="shared" si="4"/>
        <v>0</v>
      </c>
      <c r="K279">
        <v>11499</v>
      </c>
      <c r="L279" t="s">
        <v>696</v>
      </c>
      <c r="M279" t="s">
        <v>276</v>
      </c>
      <c r="N279">
        <v>13</v>
      </c>
      <c r="O279" t="s">
        <v>253</v>
      </c>
      <c r="P279">
        <v>226</v>
      </c>
      <c r="R279" t="str">
        <f ca="1">IFERROR(IF(VLOOKUP(K279,A:F,6,FALSE)&lt;&gt;P279,"INSERT INTO playerTPEHistory ( playerID, playerTPE, historyDate, historySeason, historyWeek, historyLeague ) VALUES ("&amp;K279&amp;", "&amp;F279&amp;", '"&amp;TEXT(NOW(),"yyyy-mm-dd")&amp;"', "&amp;$E$1&amp;", "&amp;$G$1&amp;", '"&amp;VLOOKUP(E279,Index!B:C,2,FALSE)&amp;" ' );",""),"")</f>
        <v>INSERT INTO playerTPEHistory ( playerID, playerTPE, historyDate, historySeason, historyWeek, historyLeague ) VALUES (11499, 178, '2019-04-01', 14, 4, 'DSFL ' );</v>
      </c>
    </row>
    <row r="280" spans="1:18" x14ac:dyDescent="0.25">
      <c r="A280">
        <v>10390</v>
      </c>
      <c r="B280" t="s">
        <v>699</v>
      </c>
      <c r="C280" t="s">
        <v>274</v>
      </c>
      <c r="D280" t="s">
        <v>418</v>
      </c>
      <c r="E280" t="s">
        <v>253</v>
      </c>
      <c r="F280">
        <v>110</v>
      </c>
      <c r="H280" s="2">
        <f>COUNTIF(K:K,A280)</f>
        <v>1</v>
      </c>
      <c r="I280" s="2">
        <f t="shared" si="4"/>
        <v>0</v>
      </c>
      <c r="K280">
        <v>11408</v>
      </c>
      <c r="L280" t="s">
        <v>489</v>
      </c>
      <c r="M280" t="s">
        <v>276</v>
      </c>
      <c r="N280">
        <v>13</v>
      </c>
      <c r="O280" t="s">
        <v>253</v>
      </c>
      <c r="P280">
        <v>142</v>
      </c>
      <c r="R280" t="str">
        <f ca="1">IFERROR(IF(VLOOKUP(K280,A:F,6,FALSE)&lt;&gt;P280,"INSERT INTO playerTPEHistory ( playerID, playerTPE, historyDate, historySeason, historyWeek, historyLeague ) VALUES ("&amp;K280&amp;", "&amp;F280&amp;", '"&amp;TEXT(NOW(),"yyyy-mm-dd")&amp;"', "&amp;$E$1&amp;", "&amp;$G$1&amp;", '"&amp;VLOOKUP(E280,Index!B:C,2,FALSE)&amp;" ' );",""),"")</f>
        <v/>
      </c>
    </row>
    <row r="281" spans="1:18" x14ac:dyDescent="0.25">
      <c r="A281">
        <v>10046</v>
      </c>
      <c r="B281" t="s">
        <v>700</v>
      </c>
      <c r="C281" t="s">
        <v>277</v>
      </c>
      <c r="D281" t="s">
        <v>418</v>
      </c>
      <c r="E281" t="s">
        <v>253</v>
      </c>
      <c r="F281">
        <v>81</v>
      </c>
      <c r="H281" s="2">
        <f>COUNTIF(K:K,A281)</f>
        <v>1</v>
      </c>
      <c r="I281" s="2">
        <f t="shared" si="4"/>
        <v>1</v>
      </c>
      <c r="K281">
        <v>11044</v>
      </c>
      <c r="L281" t="s">
        <v>781</v>
      </c>
      <c r="M281" t="s">
        <v>278</v>
      </c>
      <c r="N281">
        <v>13</v>
      </c>
      <c r="O281" t="s">
        <v>253</v>
      </c>
      <c r="P281">
        <v>50</v>
      </c>
      <c r="R281" t="str">
        <f ca="1">IFERROR(IF(VLOOKUP(K281,A:F,6,FALSE)&lt;&gt;P281,"INSERT INTO playerTPEHistory ( playerID, playerTPE, historyDate, historySeason, historyWeek, historyLeague ) VALUES ("&amp;K281&amp;", "&amp;F281&amp;", '"&amp;TEXT(NOW(),"yyyy-mm-dd")&amp;"', "&amp;$E$1&amp;", "&amp;$G$1&amp;", '"&amp;VLOOKUP(E281,Index!B:C,2,FALSE)&amp;" ' );",""),"")</f>
        <v/>
      </c>
    </row>
    <row r="282" spans="1:18" x14ac:dyDescent="0.25">
      <c r="A282">
        <v>12839</v>
      </c>
      <c r="B282" t="s">
        <v>701</v>
      </c>
      <c r="C282" t="s">
        <v>277</v>
      </c>
      <c r="D282" t="s">
        <v>621</v>
      </c>
      <c r="E282" t="s">
        <v>254</v>
      </c>
      <c r="F282">
        <v>50</v>
      </c>
      <c r="H282" s="2">
        <f>COUNTIF(K:K,A282)</f>
        <v>1</v>
      </c>
      <c r="I282" s="2">
        <f t="shared" si="4"/>
        <v>0</v>
      </c>
      <c r="K282">
        <v>10973</v>
      </c>
      <c r="L282" t="s">
        <v>697</v>
      </c>
      <c r="M282" t="s">
        <v>277</v>
      </c>
      <c r="N282">
        <v>12</v>
      </c>
      <c r="O282" t="s">
        <v>253</v>
      </c>
      <c r="P282">
        <v>148</v>
      </c>
      <c r="R282" t="str">
        <f ca="1">IFERROR(IF(VLOOKUP(K282,A:F,6,FALSE)&lt;&gt;P282,"INSERT INTO playerTPEHistory ( playerID, playerTPE, historyDate, historySeason, historyWeek, historyLeague ) VALUES ("&amp;K282&amp;", "&amp;F282&amp;", '"&amp;TEXT(NOW(),"yyyy-mm-dd")&amp;"', "&amp;$E$1&amp;", "&amp;$G$1&amp;", '"&amp;VLOOKUP(E282,Index!B:C,2,FALSE)&amp;" ' );",""),"")</f>
        <v/>
      </c>
    </row>
    <row r="283" spans="1:18" x14ac:dyDescent="0.25">
      <c r="A283">
        <v>12700</v>
      </c>
      <c r="B283" t="s">
        <v>702</v>
      </c>
      <c r="C283" t="s">
        <v>281</v>
      </c>
      <c r="D283" t="s">
        <v>621</v>
      </c>
      <c r="E283" t="s">
        <v>254</v>
      </c>
      <c r="F283">
        <v>141</v>
      </c>
      <c r="H283" s="2">
        <f>COUNTIF(K:K,A283)</f>
        <v>1</v>
      </c>
      <c r="I283" s="2">
        <f t="shared" si="4"/>
        <v>0</v>
      </c>
      <c r="K283">
        <v>10516</v>
      </c>
      <c r="L283" t="s">
        <v>698</v>
      </c>
      <c r="M283" t="s">
        <v>281</v>
      </c>
      <c r="N283">
        <v>12</v>
      </c>
      <c r="O283" t="s">
        <v>253</v>
      </c>
      <c r="P283">
        <v>178</v>
      </c>
      <c r="R283" t="str">
        <f ca="1">IFERROR(IF(VLOOKUP(K283,A:F,6,FALSE)&lt;&gt;P283,"INSERT INTO playerTPEHistory ( playerID, playerTPE, historyDate, historySeason, historyWeek, historyLeague ) VALUES ("&amp;K283&amp;", "&amp;F283&amp;", '"&amp;TEXT(NOW(),"yyyy-mm-dd")&amp;"', "&amp;$E$1&amp;", "&amp;$G$1&amp;", '"&amp;VLOOKUP(E283,Index!B:C,2,FALSE)&amp;" ' );",""),"")</f>
        <v/>
      </c>
    </row>
    <row r="284" spans="1:18" x14ac:dyDescent="0.25">
      <c r="A284">
        <v>12688</v>
      </c>
      <c r="B284" t="s">
        <v>703</v>
      </c>
      <c r="C284" t="s">
        <v>281</v>
      </c>
      <c r="D284" t="s">
        <v>621</v>
      </c>
      <c r="E284" t="s">
        <v>254</v>
      </c>
      <c r="F284">
        <v>50</v>
      </c>
      <c r="H284" s="2">
        <f>COUNTIF(K:K,A284)</f>
        <v>1</v>
      </c>
      <c r="I284" s="2">
        <f t="shared" si="4"/>
        <v>0</v>
      </c>
      <c r="K284">
        <v>10390</v>
      </c>
      <c r="L284" t="s">
        <v>699</v>
      </c>
      <c r="M284" t="s">
        <v>274</v>
      </c>
      <c r="N284">
        <v>11</v>
      </c>
      <c r="O284" t="s">
        <v>253</v>
      </c>
      <c r="P284">
        <v>110</v>
      </c>
      <c r="R284" t="str">
        <f ca="1">IFERROR(IF(VLOOKUP(K284,A:F,6,FALSE)&lt;&gt;P284,"INSERT INTO playerTPEHistory ( playerID, playerTPE, historyDate, historySeason, historyWeek, historyLeague ) VALUES ("&amp;K284&amp;", "&amp;F284&amp;", '"&amp;TEXT(NOW(),"yyyy-mm-dd")&amp;"', "&amp;$E$1&amp;", "&amp;$G$1&amp;", '"&amp;VLOOKUP(E284,Index!B:C,2,FALSE)&amp;" ' );",""),"")</f>
        <v/>
      </c>
    </row>
    <row r="285" spans="1:18" x14ac:dyDescent="0.25">
      <c r="A285">
        <v>12535</v>
      </c>
      <c r="B285" t="s">
        <v>704</v>
      </c>
      <c r="C285" t="s">
        <v>283</v>
      </c>
      <c r="D285" t="s">
        <v>621</v>
      </c>
      <c r="E285" t="s">
        <v>254</v>
      </c>
      <c r="F285">
        <v>65</v>
      </c>
      <c r="H285" s="2">
        <f>COUNTIF(K:K,A285)</f>
        <v>1</v>
      </c>
      <c r="I285" s="2">
        <f t="shared" si="4"/>
        <v>0</v>
      </c>
      <c r="K285">
        <v>10046</v>
      </c>
      <c r="L285" t="s">
        <v>700</v>
      </c>
      <c r="M285" t="s">
        <v>277</v>
      </c>
      <c r="N285">
        <v>11</v>
      </c>
      <c r="O285" t="s">
        <v>253</v>
      </c>
      <c r="P285">
        <v>81</v>
      </c>
      <c r="R285" t="str">
        <f ca="1">IFERROR(IF(VLOOKUP(K285,A:F,6,FALSE)&lt;&gt;P285,"INSERT INTO playerTPEHistory ( playerID, playerTPE, historyDate, historySeason, historyWeek, historyLeague ) VALUES ("&amp;K285&amp;", "&amp;F285&amp;", '"&amp;TEXT(NOW(),"yyyy-mm-dd")&amp;"', "&amp;$E$1&amp;", "&amp;$G$1&amp;", '"&amp;VLOOKUP(E285,Index!B:C,2,FALSE)&amp;" ' );",""),"")</f>
        <v/>
      </c>
    </row>
    <row r="286" spans="1:18" x14ac:dyDescent="0.25">
      <c r="A286">
        <v>12532</v>
      </c>
      <c r="B286" t="s">
        <v>705</v>
      </c>
      <c r="C286" t="s">
        <v>279</v>
      </c>
      <c r="D286" t="s">
        <v>621</v>
      </c>
      <c r="E286" t="s">
        <v>254</v>
      </c>
      <c r="F286">
        <v>141</v>
      </c>
      <c r="H286" s="2">
        <f>COUNTIF(K:K,A286)</f>
        <v>1</v>
      </c>
      <c r="I286" s="2">
        <f t="shared" si="4"/>
        <v>0</v>
      </c>
      <c r="K286">
        <v>12839</v>
      </c>
      <c r="L286" t="s">
        <v>701</v>
      </c>
      <c r="M286" t="s">
        <v>277</v>
      </c>
      <c r="N286">
        <v>15</v>
      </c>
      <c r="O286" t="s">
        <v>254</v>
      </c>
      <c r="P286">
        <v>50</v>
      </c>
      <c r="R286" t="str">
        <f ca="1">IFERROR(IF(VLOOKUP(K286,A:F,6,FALSE)&lt;&gt;P286,"INSERT INTO playerTPEHistory ( playerID, playerTPE, historyDate, historySeason, historyWeek, historyLeague ) VALUES ("&amp;K286&amp;", "&amp;F286&amp;", '"&amp;TEXT(NOW(),"yyyy-mm-dd")&amp;"', "&amp;$E$1&amp;", "&amp;$G$1&amp;", '"&amp;VLOOKUP(E286,Index!B:C,2,FALSE)&amp;" ' );",""),"")</f>
        <v/>
      </c>
    </row>
    <row r="287" spans="1:18" x14ac:dyDescent="0.25">
      <c r="A287">
        <v>12367</v>
      </c>
      <c r="B287" t="s">
        <v>706</v>
      </c>
      <c r="C287" t="s">
        <v>276</v>
      </c>
      <c r="D287" t="s">
        <v>621</v>
      </c>
      <c r="E287" t="s">
        <v>254</v>
      </c>
      <c r="F287">
        <v>59</v>
      </c>
      <c r="H287" s="2">
        <f>COUNTIF(K:K,A287)</f>
        <v>1</v>
      </c>
      <c r="I287" s="2">
        <f t="shared" si="4"/>
        <v>0</v>
      </c>
      <c r="K287">
        <v>12700</v>
      </c>
      <c r="L287" t="s">
        <v>702</v>
      </c>
      <c r="M287" t="s">
        <v>281</v>
      </c>
      <c r="N287">
        <v>15</v>
      </c>
      <c r="O287" t="s">
        <v>254</v>
      </c>
      <c r="P287">
        <v>130</v>
      </c>
      <c r="R287" t="str">
        <f ca="1">IFERROR(IF(VLOOKUP(K287,A:F,6,FALSE)&lt;&gt;P287,"INSERT INTO playerTPEHistory ( playerID, playerTPE, historyDate, historySeason, historyWeek, historyLeague ) VALUES ("&amp;K287&amp;", "&amp;F287&amp;", '"&amp;TEXT(NOW(),"yyyy-mm-dd")&amp;"', "&amp;$E$1&amp;", "&amp;$G$1&amp;", '"&amp;VLOOKUP(E287,Index!B:C,2,FALSE)&amp;" ' );",""),"")</f>
        <v>INSERT INTO playerTPEHistory ( playerID, playerTPE, historyDate, historySeason, historyWeek, historyLeague ) VALUES (12700, 59, '2019-04-01', 14, 4, 'DSFL ' );</v>
      </c>
    </row>
    <row r="288" spans="1:18" x14ac:dyDescent="0.25">
      <c r="A288">
        <v>12384</v>
      </c>
      <c r="B288" t="s">
        <v>707</v>
      </c>
      <c r="C288" t="s">
        <v>280</v>
      </c>
      <c r="D288" t="s">
        <v>621</v>
      </c>
      <c r="E288" t="s">
        <v>254</v>
      </c>
      <c r="F288">
        <v>133</v>
      </c>
      <c r="H288" s="2">
        <f>COUNTIF(K:K,A288)</f>
        <v>1</v>
      </c>
      <c r="I288" s="2">
        <f t="shared" si="4"/>
        <v>0</v>
      </c>
      <c r="K288">
        <v>12688</v>
      </c>
      <c r="L288" t="s">
        <v>703</v>
      </c>
      <c r="M288" t="s">
        <v>281</v>
      </c>
      <c r="N288">
        <v>15</v>
      </c>
      <c r="O288" t="s">
        <v>254</v>
      </c>
      <c r="P288">
        <v>50</v>
      </c>
      <c r="R288" t="str">
        <f ca="1">IFERROR(IF(VLOOKUP(K288,A:F,6,FALSE)&lt;&gt;P288,"INSERT INTO playerTPEHistory ( playerID, playerTPE, historyDate, historySeason, historyWeek, historyLeague ) VALUES ("&amp;K288&amp;", "&amp;F288&amp;", '"&amp;TEXT(NOW(),"yyyy-mm-dd")&amp;"', "&amp;$E$1&amp;", "&amp;$G$1&amp;", '"&amp;VLOOKUP(E288,Index!B:C,2,FALSE)&amp;" ' );",""),"")</f>
        <v/>
      </c>
    </row>
    <row r="289" spans="1:18" x14ac:dyDescent="0.25">
      <c r="A289">
        <v>12413</v>
      </c>
      <c r="B289" t="s">
        <v>708</v>
      </c>
      <c r="C289" t="s">
        <v>279</v>
      </c>
      <c r="D289" t="s">
        <v>621</v>
      </c>
      <c r="E289" t="s">
        <v>254</v>
      </c>
      <c r="F289">
        <v>149</v>
      </c>
      <c r="H289" s="2">
        <f>COUNTIF(K:K,A289)</f>
        <v>1</v>
      </c>
      <c r="I289" s="2">
        <f t="shared" si="4"/>
        <v>0</v>
      </c>
      <c r="K289">
        <v>12535</v>
      </c>
      <c r="L289" t="s">
        <v>704</v>
      </c>
      <c r="M289" t="s">
        <v>283</v>
      </c>
      <c r="N289">
        <v>15</v>
      </c>
      <c r="O289" t="s">
        <v>254</v>
      </c>
      <c r="P289">
        <v>65</v>
      </c>
      <c r="R289" t="str">
        <f ca="1">IFERROR(IF(VLOOKUP(K289,A:F,6,FALSE)&lt;&gt;P289,"INSERT INTO playerTPEHistory ( playerID, playerTPE, historyDate, historySeason, historyWeek, historyLeague ) VALUES ("&amp;K289&amp;", "&amp;F289&amp;", '"&amp;TEXT(NOW(),"yyyy-mm-dd")&amp;"', "&amp;$E$1&amp;", "&amp;$G$1&amp;", '"&amp;VLOOKUP(E289,Index!B:C,2,FALSE)&amp;" ' );",""),"")</f>
        <v/>
      </c>
    </row>
    <row r="290" spans="1:18" x14ac:dyDescent="0.25">
      <c r="A290">
        <v>12371</v>
      </c>
      <c r="B290" t="s">
        <v>709</v>
      </c>
      <c r="C290" t="s">
        <v>281</v>
      </c>
      <c r="D290" t="s">
        <v>621</v>
      </c>
      <c r="E290" t="s">
        <v>254</v>
      </c>
      <c r="F290">
        <v>62</v>
      </c>
      <c r="H290" s="2">
        <f>COUNTIF(K:K,A290)</f>
        <v>1</v>
      </c>
      <c r="I290" s="2">
        <f t="shared" si="4"/>
        <v>0</v>
      </c>
      <c r="K290">
        <v>12532</v>
      </c>
      <c r="L290" t="s">
        <v>705</v>
      </c>
      <c r="M290" t="s">
        <v>279</v>
      </c>
      <c r="N290">
        <v>15</v>
      </c>
      <c r="O290" t="s">
        <v>254</v>
      </c>
      <c r="P290">
        <v>141</v>
      </c>
      <c r="R290" t="str">
        <f ca="1">IFERROR(IF(VLOOKUP(K290,A:F,6,FALSE)&lt;&gt;P290,"INSERT INTO playerTPEHistory ( playerID, playerTPE, historyDate, historySeason, historyWeek, historyLeague ) VALUES ("&amp;K290&amp;", "&amp;F290&amp;", '"&amp;TEXT(NOW(),"yyyy-mm-dd")&amp;"', "&amp;$E$1&amp;", "&amp;$G$1&amp;", '"&amp;VLOOKUP(E290,Index!B:C,2,FALSE)&amp;" ' );",""),"")</f>
        <v/>
      </c>
    </row>
    <row r="291" spans="1:18" x14ac:dyDescent="0.25">
      <c r="A291">
        <v>12127</v>
      </c>
      <c r="B291" t="s">
        <v>710</v>
      </c>
      <c r="C291" t="s">
        <v>282</v>
      </c>
      <c r="D291" t="s">
        <v>621</v>
      </c>
      <c r="E291" t="s">
        <v>254</v>
      </c>
      <c r="F291">
        <v>50</v>
      </c>
      <c r="H291" s="2">
        <f>COUNTIF(K:K,A291)</f>
        <v>1</v>
      </c>
      <c r="I291" s="2">
        <f t="shared" si="4"/>
        <v>0</v>
      </c>
      <c r="K291">
        <v>12367</v>
      </c>
      <c r="L291" t="s">
        <v>706</v>
      </c>
      <c r="M291" t="s">
        <v>276</v>
      </c>
      <c r="N291">
        <v>15</v>
      </c>
      <c r="O291" t="s">
        <v>254</v>
      </c>
      <c r="P291">
        <v>59</v>
      </c>
      <c r="R291" t="str">
        <f ca="1">IFERROR(IF(VLOOKUP(K291,A:F,6,FALSE)&lt;&gt;P291,"INSERT INTO playerTPEHistory ( playerID, playerTPE, historyDate, historySeason, historyWeek, historyLeague ) VALUES ("&amp;K291&amp;", "&amp;F291&amp;", '"&amp;TEXT(NOW(),"yyyy-mm-dd")&amp;"', "&amp;$E$1&amp;", "&amp;$G$1&amp;", '"&amp;VLOOKUP(E291,Index!B:C,2,FALSE)&amp;" ' );",""),"")</f>
        <v/>
      </c>
    </row>
    <row r="292" spans="1:18" x14ac:dyDescent="0.25">
      <c r="A292">
        <v>12170</v>
      </c>
      <c r="B292" t="s">
        <v>711</v>
      </c>
      <c r="C292" t="s">
        <v>279</v>
      </c>
      <c r="D292" t="s">
        <v>621</v>
      </c>
      <c r="E292" t="s">
        <v>254</v>
      </c>
      <c r="F292">
        <v>72</v>
      </c>
      <c r="H292" s="2">
        <f>COUNTIF(K:K,A292)</f>
        <v>1</v>
      </c>
      <c r="I292" s="2">
        <f t="shared" si="4"/>
        <v>0</v>
      </c>
      <c r="K292">
        <v>12384</v>
      </c>
      <c r="L292" t="s">
        <v>707</v>
      </c>
      <c r="M292" t="s">
        <v>280</v>
      </c>
      <c r="N292">
        <v>15</v>
      </c>
      <c r="O292" t="s">
        <v>254</v>
      </c>
      <c r="P292">
        <v>108</v>
      </c>
      <c r="R292" t="str">
        <f ca="1">IFERROR(IF(VLOOKUP(K292,A:F,6,FALSE)&lt;&gt;P292,"INSERT INTO playerTPEHistory ( playerID, playerTPE, historyDate, historySeason, historyWeek, historyLeague ) VALUES ("&amp;K292&amp;", "&amp;F292&amp;", '"&amp;TEXT(NOW(),"yyyy-mm-dd")&amp;"', "&amp;$E$1&amp;", "&amp;$G$1&amp;", '"&amp;VLOOKUP(E292,Index!B:C,2,FALSE)&amp;" ' );",""),"")</f>
        <v>INSERT INTO playerTPEHistory ( playerID, playerTPE, historyDate, historySeason, historyWeek, historyLeague ) VALUES (12384, 72, '2019-04-01', 14, 4, 'DSFL ' );</v>
      </c>
    </row>
    <row r="293" spans="1:18" x14ac:dyDescent="0.25">
      <c r="A293">
        <v>12260</v>
      </c>
      <c r="B293" t="s">
        <v>712</v>
      </c>
      <c r="C293" t="s">
        <v>282</v>
      </c>
      <c r="D293" t="s">
        <v>621</v>
      </c>
      <c r="E293" t="s">
        <v>254</v>
      </c>
      <c r="F293">
        <v>139</v>
      </c>
      <c r="H293" s="2">
        <f>COUNTIF(K:K,A293)</f>
        <v>1</v>
      </c>
      <c r="I293" s="2">
        <f t="shared" si="4"/>
        <v>0</v>
      </c>
      <c r="K293">
        <v>12413</v>
      </c>
      <c r="L293" t="s">
        <v>708</v>
      </c>
      <c r="M293" t="s">
        <v>279</v>
      </c>
      <c r="N293">
        <v>15</v>
      </c>
      <c r="O293" t="s">
        <v>254</v>
      </c>
      <c r="P293">
        <v>134</v>
      </c>
      <c r="R293" t="str">
        <f ca="1">IFERROR(IF(VLOOKUP(K293,A:F,6,FALSE)&lt;&gt;P293,"INSERT INTO playerTPEHistory ( playerID, playerTPE, historyDate, historySeason, historyWeek, historyLeague ) VALUES ("&amp;K293&amp;", "&amp;F293&amp;", '"&amp;TEXT(NOW(),"yyyy-mm-dd")&amp;"', "&amp;$E$1&amp;", "&amp;$G$1&amp;", '"&amp;VLOOKUP(E293,Index!B:C,2,FALSE)&amp;" ' );",""),"")</f>
        <v>INSERT INTO playerTPEHistory ( playerID, playerTPE, historyDate, historySeason, historyWeek, historyLeague ) VALUES (12413, 139, '2019-04-01', 14, 4, 'DSFL ' );</v>
      </c>
    </row>
    <row r="294" spans="1:18" x14ac:dyDescent="0.25">
      <c r="A294">
        <v>12255</v>
      </c>
      <c r="B294" t="s">
        <v>713</v>
      </c>
      <c r="C294" t="s">
        <v>275</v>
      </c>
      <c r="D294" t="s">
        <v>621</v>
      </c>
      <c r="E294" t="s">
        <v>254</v>
      </c>
      <c r="F294">
        <v>83</v>
      </c>
      <c r="H294" s="2">
        <f>COUNTIF(K:K,A294)</f>
        <v>1</v>
      </c>
      <c r="I294" s="2">
        <f t="shared" si="4"/>
        <v>0</v>
      </c>
      <c r="K294">
        <v>12371</v>
      </c>
      <c r="L294" t="s">
        <v>709</v>
      </c>
      <c r="M294" t="s">
        <v>281</v>
      </c>
      <c r="N294">
        <v>15</v>
      </c>
      <c r="O294" t="s">
        <v>254</v>
      </c>
      <c r="P294">
        <v>62</v>
      </c>
      <c r="R294" t="str">
        <f ca="1">IFERROR(IF(VLOOKUP(K294,A:F,6,FALSE)&lt;&gt;P294,"INSERT INTO playerTPEHistory ( playerID, playerTPE, historyDate, historySeason, historyWeek, historyLeague ) VALUES ("&amp;K294&amp;", "&amp;F294&amp;", '"&amp;TEXT(NOW(),"yyyy-mm-dd")&amp;"', "&amp;$E$1&amp;", "&amp;$G$1&amp;", '"&amp;VLOOKUP(E294,Index!B:C,2,FALSE)&amp;" ' );",""),"")</f>
        <v/>
      </c>
    </row>
    <row r="295" spans="1:18" x14ac:dyDescent="0.25">
      <c r="A295">
        <v>12196</v>
      </c>
      <c r="B295" t="s">
        <v>714</v>
      </c>
      <c r="C295" t="s">
        <v>278</v>
      </c>
      <c r="D295" t="s">
        <v>621</v>
      </c>
      <c r="E295" t="s">
        <v>254</v>
      </c>
      <c r="F295">
        <v>59</v>
      </c>
      <c r="H295" s="2">
        <f>COUNTIF(K:K,A295)</f>
        <v>1</v>
      </c>
      <c r="I295" s="2">
        <f t="shared" si="4"/>
        <v>0</v>
      </c>
      <c r="K295">
        <v>12127</v>
      </c>
      <c r="L295" t="s">
        <v>710</v>
      </c>
      <c r="M295" t="s">
        <v>282</v>
      </c>
      <c r="N295">
        <v>15</v>
      </c>
      <c r="O295" t="s">
        <v>254</v>
      </c>
      <c r="P295">
        <v>50</v>
      </c>
      <c r="R295" t="str">
        <f ca="1">IFERROR(IF(VLOOKUP(K295,A:F,6,FALSE)&lt;&gt;P295,"INSERT INTO playerTPEHistory ( playerID, playerTPE, historyDate, historySeason, historyWeek, historyLeague ) VALUES ("&amp;K295&amp;", "&amp;F295&amp;", '"&amp;TEXT(NOW(),"yyyy-mm-dd")&amp;"', "&amp;$E$1&amp;", "&amp;$G$1&amp;", '"&amp;VLOOKUP(E295,Index!B:C,2,FALSE)&amp;" ' );",""),"")</f>
        <v/>
      </c>
    </row>
    <row r="296" spans="1:18" x14ac:dyDescent="0.25">
      <c r="A296">
        <v>12175</v>
      </c>
      <c r="B296" t="s">
        <v>715</v>
      </c>
      <c r="C296" t="s">
        <v>275</v>
      </c>
      <c r="D296" t="s">
        <v>621</v>
      </c>
      <c r="E296" t="s">
        <v>254</v>
      </c>
      <c r="F296">
        <v>74</v>
      </c>
      <c r="H296" s="2">
        <f>COUNTIF(K:K,A296)</f>
        <v>1</v>
      </c>
      <c r="I296" s="2">
        <f t="shared" si="4"/>
        <v>0</v>
      </c>
      <c r="K296">
        <v>12170</v>
      </c>
      <c r="L296" t="s">
        <v>711</v>
      </c>
      <c r="M296" t="s">
        <v>279</v>
      </c>
      <c r="N296">
        <v>15</v>
      </c>
      <c r="O296" t="s">
        <v>254</v>
      </c>
      <c r="P296">
        <v>72</v>
      </c>
      <c r="R296" t="str">
        <f ca="1">IFERROR(IF(VLOOKUP(K296,A:F,6,FALSE)&lt;&gt;P296,"INSERT INTO playerTPEHistory ( playerID, playerTPE, historyDate, historySeason, historyWeek, historyLeague ) VALUES ("&amp;K296&amp;", "&amp;F296&amp;", '"&amp;TEXT(NOW(),"yyyy-mm-dd")&amp;"', "&amp;$E$1&amp;", "&amp;$G$1&amp;", '"&amp;VLOOKUP(E296,Index!B:C,2,FALSE)&amp;" ' );",""),"")</f>
        <v/>
      </c>
    </row>
    <row r="297" spans="1:18" x14ac:dyDescent="0.25">
      <c r="A297">
        <v>12165</v>
      </c>
      <c r="B297" t="s">
        <v>716</v>
      </c>
      <c r="C297" t="s">
        <v>275</v>
      </c>
      <c r="D297" t="s">
        <v>621</v>
      </c>
      <c r="E297" t="s">
        <v>254</v>
      </c>
      <c r="F297">
        <v>134</v>
      </c>
      <c r="H297" s="2">
        <f>COUNTIF(K:K,A297)</f>
        <v>1</v>
      </c>
      <c r="I297" s="2">
        <f t="shared" si="4"/>
        <v>0</v>
      </c>
      <c r="K297">
        <v>12260</v>
      </c>
      <c r="L297" t="s">
        <v>712</v>
      </c>
      <c r="M297" t="s">
        <v>282</v>
      </c>
      <c r="N297">
        <v>15</v>
      </c>
      <c r="O297" t="s">
        <v>254</v>
      </c>
      <c r="P297">
        <v>114</v>
      </c>
      <c r="R297" t="str">
        <f ca="1">IFERROR(IF(VLOOKUP(K297,A:F,6,FALSE)&lt;&gt;P297,"INSERT INTO playerTPEHistory ( playerID, playerTPE, historyDate, historySeason, historyWeek, historyLeague ) VALUES ("&amp;K297&amp;", "&amp;F297&amp;", '"&amp;TEXT(NOW(),"yyyy-mm-dd")&amp;"', "&amp;$E$1&amp;", "&amp;$G$1&amp;", '"&amp;VLOOKUP(E297,Index!B:C,2,FALSE)&amp;" ' );",""),"")</f>
        <v>INSERT INTO playerTPEHistory ( playerID, playerTPE, historyDate, historySeason, historyWeek, historyLeague ) VALUES (12260, 134, '2019-04-01', 14, 4, 'DSFL ' );</v>
      </c>
    </row>
    <row r="298" spans="1:18" x14ac:dyDescent="0.25">
      <c r="A298">
        <v>12061</v>
      </c>
      <c r="B298" t="s">
        <v>717</v>
      </c>
      <c r="C298" t="s">
        <v>278</v>
      </c>
      <c r="D298" t="s">
        <v>621</v>
      </c>
      <c r="E298" t="s">
        <v>254</v>
      </c>
      <c r="F298">
        <v>78</v>
      </c>
      <c r="H298" s="2">
        <f>COUNTIF(K:K,A298)</f>
        <v>1</v>
      </c>
      <c r="I298" s="2">
        <f t="shared" si="4"/>
        <v>0</v>
      </c>
      <c r="K298">
        <v>12255</v>
      </c>
      <c r="L298" t="s">
        <v>713</v>
      </c>
      <c r="M298" t="s">
        <v>275</v>
      </c>
      <c r="N298">
        <v>15</v>
      </c>
      <c r="O298" t="s">
        <v>254</v>
      </c>
      <c r="P298">
        <v>76</v>
      </c>
      <c r="R298" t="str">
        <f ca="1">IFERROR(IF(VLOOKUP(K298,A:F,6,FALSE)&lt;&gt;P298,"INSERT INTO playerTPEHistory ( playerID, playerTPE, historyDate, historySeason, historyWeek, historyLeague ) VALUES ("&amp;K298&amp;", "&amp;F298&amp;", '"&amp;TEXT(NOW(),"yyyy-mm-dd")&amp;"', "&amp;$E$1&amp;", "&amp;$G$1&amp;", '"&amp;VLOOKUP(E298,Index!B:C,2,FALSE)&amp;" ' );",""),"")</f>
        <v>INSERT INTO playerTPEHistory ( playerID, playerTPE, historyDate, historySeason, historyWeek, historyLeague ) VALUES (12255, 78, '2019-04-01', 14, 4, 'DSFL ' );</v>
      </c>
    </row>
    <row r="299" spans="1:18" x14ac:dyDescent="0.25">
      <c r="A299">
        <v>12022</v>
      </c>
      <c r="B299" t="s">
        <v>718</v>
      </c>
      <c r="C299" t="s">
        <v>276</v>
      </c>
      <c r="D299" t="s">
        <v>621</v>
      </c>
      <c r="E299" t="s">
        <v>254</v>
      </c>
      <c r="F299">
        <v>57</v>
      </c>
      <c r="H299" s="2">
        <f>COUNTIF(K:K,A299)</f>
        <v>1</v>
      </c>
      <c r="I299" s="2">
        <f t="shared" si="4"/>
        <v>0</v>
      </c>
      <c r="K299">
        <v>12196</v>
      </c>
      <c r="L299" t="s">
        <v>714</v>
      </c>
      <c r="M299" t="s">
        <v>278</v>
      </c>
      <c r="N299">
        <v>15</v>
      </c>
      <c r="O299" t="s">
        <v>254</v>
      </c>
      <c r="P299">
        <v>59</v>
      </c>
      <c r="R299" t="str">
        <f ca="1">IFERROR(IF(VLOOKUP(K299,A:F,6,FALSE)&lt;&gt;P299,"INSERT INTO playerTPEHistory ( playerID, playerTPE, historyDate, historySeason, historyWeek, historyLeague ) VALUES ("&amp;K299&amp;", "&amp;F299&amp;", '"&amp;TEXT(NOW(),"yyyy-mm-dd")&amp;"', "&amp;$E$1&amp;", "&amp;$G$1&amp;", '"&amp;VLOOKUP(E299,Index!B:C,2,FALSE)&amp;" ' );",""),"")</f>
        <v/>
      </c>
    </row>
    <row r="300" spans="1:18" x14ac:dyDescent="0.25">
      <c r="A300">
        <v>12011</v>
      </c>
      <c r="B300" t="s">
        <v>719</v>
      </c>
      <c r="C300" t="s">
        <v>277</v>
      </c>
      <c r="D300" t="s">
        <v>621</v>
      </c>
      <c r="E300" t="s">
        <v>254</v>
      </c>
      <c r="F300">
        <v>186</v>
      </c>
      <c r="H300" s="2">
        <f>COUNTIF(K:K,A300)</f>
        <v>1</v>
      </c>
      <c r="I300" s="2">
        <f t="shared" si="4"/>
        <v>0</v>
      </c>
      <c r="K300">
        <v>12175</v>
      </c>
      <c r="L300" t="s">
        <v>715</v>
      </c>
      <c r="M300" t="s">
        <v>275</v>
      </c>
      <c r="N300">
        <v>15</v>
      </c>
      <c r="O300" t="s">
        <v>254</v>
      </c>
      <c r="P300">
        <v>74</v>
      </c>
      <c r="R300" t="str">
        <f ca="1">IFERROR(IF(VLOOKUP(K300,A:F,6,FALSE)&lt;&gt;P300,"INSERT INTO playerTPEHistory ( playerID, playerTPE, historyDate, historySeason, historyWeek, historyLeague ) VALUES ("&amp;K300&amp;", "&amp;F300&amp;", '"&amp;TEXT(NOW(),"yyyy-mm-dd")&amp;"', "&amp;$E$1&amp;", "&amp;$G$1&amp;", '"&amp;VLOOKUP(E300,Index!B:C,2,FALSE)&amp;" ' );",""),"")</f>
        <v/>
      </c>
    </row>
    <row r="301" spans="1:18" x14ac:dyDescent="0.25">
      <c r="A301">
        <v>11980</v>
      </c>
      <c r="B301" t="s">
        <v>720</v>
      </c>
      <c r="C301" t="s">
        <v>277</v>
      </c>
      <c r="D301" t="s">
        <v>621</v>
      </c>
      <c r="E301" t="s">
        <v>254</v>
      </c>
      <c r="F301">
        <v>113</v>
      </c>
      <c r="H301" s="2">
        <f>COUNTIF(K:K,A301)</f>
        <v>1</v>
      </c>
      <c r="I301" s="2">
        <f t="shared" si="4"/>
        <v>0</v>
      </c>
      <c r="K301">
        <v>12165</v>
      </c>
      <c r="L301" t="s">
        <v>782</v>
      </c>
      <c r="M301" t="s">
        <v>275</v>
      </c>
      <c r="N301">
        <v>15</v>
      </c>
      <c r="O301" t="s">
        <v>254</v>
      </c>
      <c r="P301">
        <v>111</v>
      </c>
      <c r="R301" t="str">
        <f ca="1">IFERROR(IF(VLOOKUP(K301,A:F,6,FALSE)&lt;&gt;P301,"INSERT INTO playerTPEHistory ( playerID, playerTPE, historyDate, historySeason, historyWeek, historyLeague ) VALUES ("&amp;K301&amp;", "&amp;F301&amp;", '"&amp;TEXT(NOW(),"yyyy-mm-dd")&amp;"', "&amp;$E$1&amp;", "&amp;$G$1&amp;", '"&amp;VLOOKUP(E301,Index!B:C,2,FALSE)&amp;" ' );",""),"")</f>
        <v>INSERT INTO playerTPEHistory ( playerID, playerTPE, historyDate, historySeason, historyWeek, historyLeague ) VALUES (12165, 113, '2019-04-01', 14, 4, 'DSFL ' );</v>
      </c>
    </row>
    <row r="302" spans="1:18" x14ac:dyDescent="0.25">
      <c r="A302">
        <v>11785</v>
      </c>
      <c r="B302" t="s">
        <v>721</v>
      </c>
      <c r="C302" t="s">
        <v>278</v>
      </c>
      <c r="D302" t="s">
        <v>486</v>
      </c>
      <c r="E302" t="s">
        <v>254</v>
      </c>
      <c r="F302">
        <v>82</v>
      </c>
      <c r="H302" s="2">
        <f>COUNTIF(K:K,A302)</f>
        <v>1</v>
      </c>
      <c r="I302" s="2">
        <f t="shared" si="4"/>
        <v>0</v>
      </c>
      <c r="K302">
        <v>12061</v>
      </c>
      <c r="L302" t="s">
        <v>717</v>
      </c>
      <c r="M302" t="s">
        <v>278</v>
      </c>
      <c r="N302">
        <v>15</v>
      </c>
      <c r="O302" t="s">
        <v>254</v>
      </c>
      <c r="P302">
        <v>69</v>
      </c>
      <c r="R302" t="str">
        <f ca="1">IFERROR(IF(VLOOKUP(K302,A:F,6,FALSE)&lt;&gt;P302,"INSERT INTO playerTPEHistory ( playerID, playerTPE, historyDate, historySeason, historyWeek, historyLeague ) VALUES ("&amp;K302&amp;", "&amp;F302&amp;", '"&amp;TEXT(NOW(),"yyyy-mm-dd")&amp;"', "&amp;$E$1&amp;", "&amp;$G$1&amp;", '"&amp;VLOOKUP(E302,Index!B:C,2,FALSE)&amp;" ' );",""),"")</f>
        <v>INSERT INTO playerTPEHistory ( playerID, playerTPE, historyDate, historySeason, historyWeek, historyLeague ) VALUES (12061, 82, '2019-04-01', 14, 4, 'DSFL ' );</v>
      </c>
    </row>
    <row r="303" spans="1:18" x14ac:dyDescent="0.25">
      <c r="A303">
        <v>11735</v>
      </c>
      <c r="B303" t="s">
        <v>722</v>
      </c>
      <c r="C303" t="s">
        <v>281</v>
      </c>
      <c r="D303" t="s">
        <v>486</v>
      </c>
      <c r="E303" t="s">
        <v>254</v>
      </c>
      <c r="F303">
        <v>57</v>
      </c>
      <c r="H303" s="2">
        <f>COUNTIF(K:K,A303)</f>
        <v>1</v>
      </c>
      <c r="I303" s="2">
        <f t="shared" si="4"/>
        <v>0</v>
      </c>
      <c r="K303">
        <v>12022</v>
      </c>
      <c r="L303" t="s">
        <v>718</v>
      </c>
      <c r="M303" t="s">
        <v>276</v>
      </c>
      <c r="N303">
        <v>15</v>
      </c>
      <c r="O303" t="s">
        <v>254</v>
      </c>
      <c r="P303">
        <v>57</v>
      </c>
      <c r="R303" t="str">
        <f ca="1">IFERROR(IF(VLOOKUP(K303,A:F,6,FALSE)&lt;&gt;P303,"INSERT INTO playerTPEHistory ( playerID, playerTPE, historyDate, historySeason, historyWeek, historyLeague ) VALUES ("&amp;K303&amp;", "&amp;F303&amp;", '"&amp;TEXT(NOW(),"yyyy-mm-dd")&amp;"', "&amp;$E$1&amp;", "&amp;$G$1&amp;", '"&amp;VLOOKUP(E303,Index!B:C,2,FALSE)&amp;" ' );",""),"")</f>
        <v/>
      </c>
    </row>
    <row r="304" spans="1:18" x14ac:dyDescent="0.25">
      <c r="A304">
        <v>11652</v>
      </c>
      <c r="B304" t="s">
        <v>723</v>
      </c>
      <c r="C304" t="s">
        <v>274</v>
      </c>
      <c r="D304" t="s">
        <v>486</v>
      </c>
      <c r="E304" t="s">
        <v>254</v>
      </c>
      <c r="F304">
        <v>131</v>
      </c>
      <c r="H304" s="2">
        <f>COUNTIF(K:K,A304)</f>
        <v>1</v>
      </c>
      <c r="I304" s="2">
        <f t="shared" si="4"/>
        <v>0</v>
      </c>
      <c r="K304">
        <v>12011</v>
      </c>
      <c r="L304" t="s">
        <v>719</v>
      </c>
      <c r="M304" t="s">
        <v>277</v>
      </c>
      <c r="N304">
        <v>15</v>
      </c>
      <c r="O304" t="s">
        <v>254</v>
      </c>
      <c r="P304">
        <v>175</v>
      </c>
      <c r="R304" t="str">
        <f ca="1">IFERROR(IF(VLOOKUP(K304,A:F,6,FALSE)&lt;&gt;P304,"INSERT INTO playerTPEHistory ( playerID, playerTPE, historyDate, historySeason, historyWeek, historyLeague ) VALUES ("&amp;K304&amp;", "&amp;F304&amp;", '"&amp;TEXT(NOW(),"yyyy-mm-dd")&amp;"', "&amp;$E$1&amp;", "&amp;$G$1&amp;", '"&amp;VLOOKUP(E304,Index!B:C,2,FALSE)&amp;" ' );",""),"")</f>
        <v>INSERT INTO playerTPEHistory ( playerID, playerTPE, historyDate, historySeason, historyWeek, historyLeague ) VALUES (12011, 131, '2019-04-01', 14, 4, 'DSFL ' );</v>
      </c>
    </row>
    <row r="305" spans="1:18" x14ac:dyDescent="0.25">
      <c r="A305">
        <v>11597</v>
      </c>
      <c r="B305" t="s">
        <v>724</v>
      </c>
      <c r="C305" t="s">
        <v>283</v>
      </c>
      <c r="D305" t="s">
        <v>486</v>
      </c>
      <c r="E305" t="s">
        <v>254</v>
      </c>
      <c r="F305">
        <v>357</v>
      </c>
      <c r="H305" s="2">
        <f>COUNTIF(K:K,A305)</f>
        <v>1</v>
      </c>
      <c r="I305" s="2">
        <f t="shared" si="4"/>
        <v>0</v>
      </c>
      <c r="K305">
        <v>11980</v>
      </c>
      <c r="L305" t="s">
        <v>720</v>
      </c>
      <c r="M305" t="s">
        <v>277</v>
      </c>
      <c r="N305">
        <v>15</v>
      </c>
      <c r="O305" t="s">
        <v>254</v>
      </c>
      <c r="P305">
        <v>72</v>
      </c>
      <c r="R305" t="str">
        <f ca="1">IFERROR(IF(VLOOKUP(K305,A:F,6,FALSE)&lt;&gt;P305,"INSERT INTO playerTPEHistory ( playerID, playerTPE, historyDate, historySeason, historyWeek, historyLeague ) VALUES ("&amp;K305&amp;", "&amp;F305&amp;", '"&amp;TEXT(NOW(),"yyyy-mm-dd")&amp;"', "&amp;$E$1&amp;", "&amp;$G$1&amp;", '"&amp;VLOOKUP(E305,Index!B:C,2,FALSE)&amp;" ' );",""),"")</f>
        <v>INSERT INTO playerTPEHistory ( playerID, playerTPE, historyDate, historySeason, historyWeek, historyLeague ) VALUES (11980, 357, '2019-04-01', 14, 4, 'DSFL ' );</v>
      </c>
    </row>
    <row r="306" spans="1:18" x14ac:dyDescent="0.25">
      <c r="A306">
        <v>11500</v>
      </c>
      <c r="B306" t="s">
        <v>725</v>
      </c>
      <c r="C306" t="s">
        <v>274</v>
      </c>
      <c r="D306" t="s">
        <v>409</v>
      </c>
      <c r="E306" t="s">
        <v>254</v>
      </c>
      <c r="F306">
        <v>74</v>
      </c>
      <c r="H306" s="2">
        <f>COUNTIF(K:K,A306)</f>
        <v>1</v>
      </c>
      <c r="I306" s="2">
        <f t="shared" si="4"/>
        <v>0</v>
      </c>
      <c r="K306">
        <v>11785</v>
      </c>
      <c r="L306" t="s">
        <v>721</v>
      </c>
      <c r="M306" t="s">
        <v>278</v>
      </c>
      <c r="N306">
        <v>14</v>
      </c>
      <c r="O306" t="s">
        <v>254</v>
      </c>
      <c r="P306">
        <v>82</v>
      </c>
      <c r="R306" t="str">
        <f ca="1">IFERROR(IF(VLOOKUP(K306,A:F,6,FALSE)&lt;&gt;P306,"INSERT INTO playerTPEHistory ( playerID, playerTPE, historyDate, historySeason, historyWeek, historyLeague ) VALUES ("&amp;K306&amp;", "&amp;F306&amp;", '"&amp;TEXT(NOW(),"yyyy-mm-dd")&amp;"', "&amp;$E$1&amp;", "&amp;$G$1&amp;", '"&amp;VLOOKUP(E306,Index!B:C,2,FALSE)&amp;" ' );",""),"")</f>
        <v/>
      </c>
    </row>
    <row r="307" spans="1:18" x14ac:dyDescent="0.25">
      <c r="A307">
        <v>11150</v>
      </c>
      <c r="B307" t="s">
        <v>726</v>
      </c>
      <c r="C307" t="s">
        <v>277</v>
      </c>
      <c r="D307" t="s">
        <v>409</v>
      </c>
      <c r="E307" t="s">
        <v>254</v>
      </c>
      <c r="F307">
        <v>99</v>
      </c>
      <c r="H307" s="2">
        <f>COUNTIF(K:K,A307)</f>
        <v>1</v>
      </c>
      <c r="I307" s="2">
        <f t="shared" si="4"/>
        <v>0</v>
      </c>
      <c r="K307">
        <v>11735</v>
      </c>
      <c r="L307" t="s">
        <v>722</v>
      </c>
      <c r="M307" t="s">
        <v>281</v>
      </c>
      <c r="N307">
        <v>14</v>
      </c>
      <c r="O307" t="s">
        <v>254</v>
      </c>
      <c r="P307">
        <v>57</v>
      </c>
      <c r="R307" t="str">
        <f ca="1">IFERROR(IF(VLOOKUP(K307,A:F,6,FALSE)&lt;&gt;P307,"INSERT INTO playerTPEHistory ( playerID, playerTPE, historyDate, historySeason, historyWeek, historyLeague ) VALUES ("&amp;K307&amp;", "&amp;F307&amp;", '"&amp;TEXT(NOW(),"yyyy-mm-dd")&amp;"', "&amp;$E$1&amp;", "&amp;$G$1&amp;", '"&amp;VLOOKUP(E307,Index!B:C,2,FALSE)&amp;" ' );",""),"")</f>
        <v/>
      </c>
    </row>
    <row r="308" spans="1:18" x14ac:dyDescent="0.25">
      <c r="A308">
        <v>10787</v>
      </c>
      <c r="B308" t="s">
        <v>727</v>
      </c>
      <c r="C308" t="s">
        <v>276</v>
      </c>
      <c r="D308" t="s">
        <v>411</v>
      </c>
      <c r="E308" t="s">
        <v>254</v>
      </c>
      <c r="F308">
        <v>81</v>
      </c>
      <c r="H308" s="2">
        <f>COUNTIF(K:K,A308)</f>
        <v>1</v>
      </c>
      <c r="I308" s="2">
        <f t="shared" si="4"/>
        <v>0</v>
      </c>
      <c r="K308">
        <v>11652</v>
      </c>
      <c r="L308" t="s">
        <v>723</v>
      </c>
      <c r="M308" t="s">
        <v>274</v>
      </c>
      <c r="N308">
        <v>14</v>
      </c>
      <c r="O308" t="s">
        <v>254</v>
      </c>
      <c r="P308">
        <v>131</v>
      </c>
      <c r="R308" t="str">
        <f ca="1">IFERROR(IF(VLOOKUP(K308,A:F,6,FALSE)&lt;&gt;P308,"INSERT INTO playerTPEHistory ( playerID, playerTPE, historyDate, historySeason, historyWeek, historyLeague ) VALUES ("&amp;K308&amp;", "&amp;F308&amp;", '"&amp;TEXT(NOW(),"yyyy-mm-dd")&amp;"', "&amp;$E$1&amp;", "&amp;$G$1&amp;", '"&amp;VLOOKUP(E308,Index!B:C,2,FALSE)&amp;" ' );",""),"")</f>
        <v/>
      </c>
    </row>
    <row r="309" spans="1:18" x14ac:dyDescent="0.25">
      <c r="A309">
        <v>10632</v>
      </c>
      <c r="B309" t="s">
        <v>728</v>
      </c>
      <c r="C309" t="s">
        <v>283</v>
      </c>
      <c r="D309" t="s">
        <v>411</v>
      </c>
      <c r="E309" t="s">
        <v>254</v>
      </c>
      <c r="F309">
        <v>61</v>
      </c>
      <c r="H309" s="2">
        <f>COUNTIF(K:K,A309)</f>
        <v>1</v>
      </c>
      <c r="I309" s="2">
        <f t="shared" si="4"/>
        <v>0</v>
      </c>
      <c r="K309">
        <v>11597</v>
      </c>
      <c r="L309" t="s">
        <v>724</v>
      </c>
      <c r="M309" t="s">
        <v>283</v>
      </c>
      <c r="N309">
        <v>14</v>
      </c>
      <c r="O309" t="s">
        <v>254</v>
      </c>
      <c r="P309">
        <v>328</v>
      </c>
      <c r="R309" t="str">
        <f ca="1">IFERROR(IF(VLOOKUP(K309,A:F,6,FALSE)&lt;&gt;P309,"INSERT INTO playerTPEHistory ( playerID, playerTPE, historyDate, historySeason, historyWeek, historyLeague ) VALUES ("&amp;K309&amp;", "&amp;F309&amp;", '"&amp;TEXT(NOW(),"yyyy-mm-dd")&amp;"', "&amp;$E$1&amp;", "&amp;$G$1&amp;", '"&amp;VLOOKUP(E309,Index!B:C,2,FALSE)&amp;" ' );",""),"")</f>
        <v>INSERT INTO playerTPEHistory ( playerID, playerTPE, historyDate, historySeason, historyWeek, historyLeague ) VALUES (11597, 61, '2019-04-01', 14, 4, 'DSFL ' );</v>
      </c>
    </row>
    <row r="310" spans="1:18" x14ac:dyDescent="0.25">
      <c r="A310">
        <v>10617</v>
      </c>
      <c r="B310" t="s">
        <v>729</v>
      </c>
      <c r="C310" t="s">
        <v>281</v>
      </c>
      <c r="D310" t="s">
        <v>411</v>
      </c>
      <c r="E310" t="s">
        <v>254</v>
      </c>
      <c r="F310">
        <v>50</v>
      </c>
      <c r="H310" s="2">
        <f>COUNTIF(K:K,A310)</f>
        <v>1</v>
      </c>
      <c r="I310" s="2">
        <f t="shared" si="4"/>
        <v>0</v>
      </c>
      <c r="K310">
        <v>11500</v>
      </c>
      <c r="L310" t="s">
        <v>725</v>
      </c>
      <c r="M310" t="s">
        <v>274</v>
      </c>
      <c r="N310">
        <v>13</v>
      </c>
      <c r="O310" t="s">
        <v>254</v>
      </c>
      <c r="P310">
        <v>74</v>
      </c>
      <c r="R310" t="str">
        <f ca="1">IFERROR(IF(VLOOKUP(K310,A:F,6,FALSE)&lt;&gt;P310,"INSERT INTO playerTPEHistory ( playerID, playerTPE, historyDate, historySeason, historyWeek, historyLeague ) VALUES ("&amp;K310&amp;", "&amp;F310&amp;", '"&amp;TEXT(NOW(),"yyyy-mm-dd")&amp;"', "&amp;$E$1&amp;", "&amp;$G$1&amp;", '"&amp;VLOOKUP(E310,Index!B:C,2,FALSE)&amp;" ' );",""),"")</f>
        <v/>
      </c>
    </row>
    <row r="311" spans="1:18" x14ac:dyDescent="0.25">
      <c r="A311">
        <v>10182</v>
      </c>
      <c r="B311" t="s">
        <v>730</v>
      </c>
      <c r="C311" t="s">
        <v>282</v>
      </c>
      <c r="D311" t="s">
        <v>418</v>
      </c>
      <c r="E311" t="s">
        <v>254</v>
      </c>
      <c r="F311">
        <v>168</v>
      </c>
      <c r="H311" s="2">
        <f>COUNTIF(K:K,A311)</f>
        <v>1</v>
      </c>
      <c r="I311" s="2">
        <f t="shared" si="4"/>
        <v>0</v>
      </c>
      <c r="K311">
        <v>11150</v>
      </c>
      <c r="L311" t="s">
        <v>726</v>
      </c>
      <c r="M311" t="s">
        <v>277</v>
      </c>
      <c r="N311">
        <v>13</v>
      </c>
      <c r="O311" t="s">
        <v>254</v>
      </c>
      <c r="P311">
        <v>99</v>
      </c>
      <c r="R311" t="str">
        <f ca="1">IFERROR(IF(VLOOKUP(K311,A:F,6,FALSE)&lt;&gt;P311,"INSERT INTO playerTPEHistory ( playerID, playerTPE, historyDate, historySeason, historyWeek, historyLeague ) VALUES ("&amp;K311&amp;", "&amp;F311&amp;", '"&amp;TEXT(NOW(),"yyyy-mm-dd")&amp;"', "&amp;$E$1&amp;", "&amp;$G$1&amp;", '"&amp;VLOOKUP(E311,Index!B:C,2,FALSE)&amp;" ' );",""),"")</f>
        <v/>
      </c>
    </row>
    <row r="312" spans="1:18" x14ac:dyDescent="0.25">
      <c r="A312">
        <v>10072</v>
      </c>
      <c r="B312" t="s">
        <v>731</v>
      </c>
      <c r="C312" t="s">
        <v>281</v>
      </c>
      <c r="D312" t="s">
        <v>418</v>
      </c>
      <c r="E312" t="s">
        <v>254</v>
      </c>
      <c r="F312">
        <v>67</v>
      </c>
      <c r="H312" s="2">
        <f>COUNTIF(K:K,A312)</f>
        <v>1</v>
      </c>
      <c r="I312" s="2">
        <f t="shared" si="4"/>
        <v>0</v>
      </c>
      <c r="K312">
        <v>10787</v>
      </c>
      <c r="L312" t="s">
        <v>727</v>
      </c>
      <c r="M312" t="s">
        <v>276</v>
      </c>
      <c r="N312">
        <v>12</v>
      </c>
      <c r="O312" t="s">
        <v>254</v>
      </c>
      <c r="P312">
        <v>81</v>
      </c>
      <c r="R312" t="str">
        <f ca="1">IFERROR(IF(VLOOKUP(K312,A:F,6,FALSE)&lt;&gt;P312,"INSERT INTO playerTPEHistory ( playerID, playerTPE, historyDate, historySeason, historyWeek, historyLeague ) VALUES ("&amp;K312&amp;", "&amp;F312&amp;", '"&amp;TEXT(NOW(),"yyyy-mm-dd")&amp;"', "&amp;$E$1&amp;", "&amp;$G$1&amp;", '"&amp;VLOOKUP(E312,Index!B:C,2,FALSE)&amp;" ' );",""),"")</f>
        <v/>
      </c>
    </row>
    <row r="313" spans="1:18" x14ac:dyDescent="0.25">
      <c r="A313">
        <v>12919</v>
      </c>
      <c r="B313" t="s">
        <v>732</v>
      </c>
      <c r="C313" t="s">
        <v>281</v>
      </c>
      <c r="D313" t="s">
        <v>621</v>
      </c>
      <c r="E313" t="s">
        <v>255</v>
      </c>
      <c r="F313">
        <v>50</v>
      </c>
      <c r="H313" s="2">
        <f>COUNTIF(K:K,A313)</f>
        <v>0</v>
      </c>
      <c r="I313" s="2">
        <f t="shared" si="4"/>
        <v>0</v>
      </c>
      <c r="K313">
        <v>10632</v>
      </c>
      <c r="L313" t="s">
        <v>728</v>
      </c>
      <c r="M313" t="s">
        <v>283</v>
      </c>
      <c r="N313">
        <v>12</v>
      </c>
      <c r="O313" t="s">
        <v>254</v>
      </c>
      <c r="P313">
        <v>61</v>
      </c>
      <c r="R313" t="str">
        <f ca="1">IFERROR(IF(VLOOKUP(K313,A:F,6,FALSE)&lt;&gt;P313,"INSERT INTO playerTPEHistory ( playerID, playerTPE, historyDate, historySeason, historyWeek, historyLeague ) VALUES ("&amp;K313&amp;", "&amp;F313&amp;", '"&amp;TEXT(NOW(),"yyyy-mm-dd")&amp;"', "&amp;$E$1&amp;", "&amp;$G$1&amp;", '"&amp;VLOOKUP(E313,Index!B:C,2,FALSE)&amp;" ' );",""),"")</f>
        <v/>
      </c>
    </row>
    <row r="314" spans="1:18" x14ac:dyDescent="0.25">
      <c r="A314">
        <v>12676</v>
      </c>
      <c r="B314" t="s">
        <v>733</v>
      </c>
      <c r="C314" t="s">
        <v>276</v>
      </c>
      <c r="D314" t="s">
        <v>621</v>
      </c>
      <c r="E314" t="s">
        <v>255</v>
      </c>
      <c r="F314">
        <v>104</v>
      </c>
      <c r="H314" s="2">
        <f>COUNTIF(K:K,A314)</f>
        <v>1</v>
      </c>
      <c r="I314" s="2">
        <f t="shared" si="4"/>
        <v>0</v>
      </c>
      <c r="K314">
        <v>10617</v>
      </c>
      <c r="L314" t="s">
        <v>729</v>
      </c>
      <c r="M314" t="s">
        <v>281</v>
      </c>
      <c r="N314">
        <v>12</v>
      </c>
      <c r="O314" t="s">
        <v>254</v>
      </c>
      <c r="P314">
        <v>50</v>
      </c>
      <c r="R314" t="str">
        <f ca="1">IFERROR(IF(VLOOKUP(K314,A:F,6,FALSE)&lt;&gt;P314,"INSERT INTO playerTPEHistory ( playerID, playerTPE, historyDate, historySeason, historyWeek, historyLeague ) VALUES ("&amp;K314&amp;", "&amp;F314&amp;", '"&amp;TEXT(NOW(),"yyyy-mm-dd")&amp;"', "&amp;$E$1&amp;", "&amp;$G$1&amp;", '"&amp;VLOOKUP(E314,Index!B:C,2,FALSE)&amp;" ' );",""),"")</f>
        <v/>
      </c>
    </row>
    <row r="315" spans="1:18" x14ac:dyDescent="0.25">
      <c r="A315">
        <v>12395</v>
      </c>
      <c r="B315" t="s">
        <v>734</v>
      </c>
      <c r="C315" t="s">
        <v>280</v>
      </c>
      <c r="D315" t="s">
        <v>621</v>
      </c>
      <c r="E315" t="s">
        <v>255</v>
      </c>
      <c r="F315">
        <v>112</v>
      </c>
      <c r="H315" s="2">
        <f>COUNTIF(K:K,A315)</f>
        <v>1</v>
      </c>
      <c r="I315" s="2">
        <f t="shared" si="4"/>
        <v>0</v>
      </c>
      <c r="K315">
        <v>10182</v>
      </c>
      <c r="L315" t="s">
        <v>730</v>
      </c>
      <c r="M315" t="s">
        <v>282</v>
      </c>
      <c r="N315">
        <v>11</v>
      </c>
      <c r="O315" t="s">
        <v>254</v>
      </c>
      <c r="P315">
        <v>168</v>
      </c>
      <c r="R315" t="str">
        <f ca="1">IFERROR(IF(VLOOKUP(K315,A:F,6,FALSE)&lt;&gt;P315,"INSERT INTO playerTPEHistory ( playerID, playerTPE, historyDate, historySeason, historyWeek, historyLeague ) VALUES ("&amp;K315&amp;", "&amp;F315&amp;", '"&amp;TEXT(NOW(),"yyyy-mm-dd")&amp;"', "&amp;$E$1&amp;", "&amp;$G$1&amp;", '"&amp;VLOOKUP(E315,Index!B:C,2,FALSE)&amp;" ' );",""),"")</f>
        <v/>
      </c>
    </row>
    <row r="316" spans="1:18" x14ac:dyDescent="0.25">
      <c r="A316">
        <v>12396</v>
      </c>
      <c r="B316" t="s">
        <v>735</v>
      </c>
      <c r="C316" t="s">
        <v>283</v>
      </c>
      <c r="D316" t="s">
        <v>621</v>
      </c>
      <c r="E316" t="s">
        <v>255</v>
      </c>
      <c r="F316">
        <v>129</v>
      </c>
      <c r="H316" s="2">
        <f>COUNTIF(K:K,A316)</f>
        <v>1</v>
      </c>
      <c r="I316" s="2">
        <f t="shared" si="4"/>
        <v>0</v>
      </c>
      <c r="K316">
        <v>10072</v>
      </c>
      <c r="L316" t="s">
        <v>731</v>
      </c>
      <c r="M316" t="s">
        <v>281</v>
      </c>
      <c r="N316">
        <v>11</v>
      </c>
      <c r="O316" t="s">
        <v>254</v>
      </c>
      <c r="P316">
        <v>67</v>
      </c>
      <c r="R316" t="str">
        <f ca="1">IFERROR(IF(VLOOKUP(K316,A:F,6,FALSE)&lt;&gt;P316,"INSERT INTO playerTPEHistory ( playerID, playerTPE, historyDate, historySeason, historyWeek, historyLeague ) VALUES ("&amp;K316&amp;", "&amp;F316&amp;", '"&amp;TEXT(NOW(),"yyyy-mm-dd")&amp;"', "&amp;$E$1&amp;", "&amp;$G$1&amp;", '"&amp;VLOOKUP(E316,Index!B:C,2,FALSE)&amp;" ' );",""),"")</f>
        <v/>
      </c>
    </row>
    <row r="317" spans="1:18" x14ac:dyDescent="0.25">
      <c r="A317">
        <v>12417</v>
      </c>
      <c r="B317" t="s">
        <v>736</v>
      </c>
      <c r="C317" t="s">
        <v>277</v>
      </c>
      <c r="D317" t="s">
        <v>621</v>
      </c>
      <c r="E317" t="s">
        <v>255</v>
      </c>
      <c r="F317">
        <v>50</v>
      </c>
      <c r="H317" s="2">
        <f>COUNTIF(K:K,A317)</f>
        <v>1</v>
      </c>
      <c r="I317" s="2">
        <f t="shared" si="4"/>
        <v>0</v>
      </c>
      <c r="K317">
        <v>12676</v>
      </c>
      <c r="L317" t="s">
        <v>733</v>
      </c>
      <c r="M317" t="s">
        <v>276</v>
      </c>
      <c r="N317">
        <v>15</v>
      </c>
      <c r="O317" t="s">
        <v>255</v>
      </c>
      <c r="P317">
        <v>72</v>
      </c>
      <c r="R317" t="str">
        <f ca="1">IFERROR(IF(VLOOKUP(K317,A:F,6,FALSE)&lt;&gt;P317,"INSERT INTO playerTPEHistory ( playerID, playerTPE, historyDate, historySeason, historyWeek, historyLeague ) VALUES ("&amp;K317&amp;", "&amp;F317&amp;", '"&amp;TEXT(NOW(),"yyyy-mm-dd")&amp;"', "&amp;$E$1&amp;", "&amp;$G$1&amp;", '"&amp;VLOOKUP(E317,Index!B:C,2,FALSE)&amp;" ' );",""),"")</f>
        <v>INSERT INTO playerTPEHistory ( playerID, playerTPE, historyDate, historySeason, historyWeek, historyLeague ) VALUES (12676, 50, '2019-04-01', 14, 4, 'DSFL ' );</v>
      </c>
    </row>
    <row r="318" spans="1:18" x14ac:dyDescent="0.25">
      <c r="A318">
        <v>12318</v>
      </c>
      <c r="B318" t="s">
        <v>737</v>
      </c>
      <c r="C318" t="s">
        <v>277</v>
      </c>
      <c r="D318" t="s">
        <v>621</v>
      </c>
      <c r="E318" t="s">
        <v>255</v>
      </c>
      <c r="F318">
        <v>119</v>
      </c>
      <c r="H318" s="2">
        <f>COUNTIF(K:K,A318)</f>
        <v>1</v>
      </c>
      <c r="I318" s="2">
        <f t="shared" si="4"/>
        <v>0</v>
      </c>
      <c r="K318">
        <v>12395</v>
      </c>
      <c r="L318" t="s">
        <v>734</v>
      </c>
      <c r="M318" t="s">
        <v>280</v>
      </c>
      <c r="N318">
        <v>15</v>
      </c>
      <c r="O318" t="s">
        <v>255</v>
      </c>
      <c r="P318">
        <v>97</v>
      </c>
      <c r="R318" t="str">
        <f ca="1">IFERROR(IF(VLOOKUP(K318,A:F,6,FALSE)&lt;&gt;P318,"INSERT INTO playerTPEHistory ( playerID, playerTPE, historyDate, historySeason, historyWeek, historyLeague ) VALUES ("&amp;K318&amp;", "&amp;F318&amp;", '"&amp;TEXT(NOW(),"yyyy-mm-dd")&amp;"', "&amp;$E$1&amp;", "&amp;$G$1&amp;", '"&amp;VLOOKUP(E318,Index!B:C,2,FALSE)&amp;" ' );",""),"")</f>
        <v>INSERT INTO playerTPEHistory ( playerID, playerTPE, historyDate, historySeason, historyWeek, historyLeague ) VALUES (12395, 119, '2019-04-01', 14, 4, 'DSFL ' );</v>
      </c>
    </row>
    <row r="319" spans="1:18" x14ac:dyDescent="0.25">
      <c r="A319">
        <v>12282</v>
      </c>
      <c r="B319" t="s">
        <v>738</v>
      </c>
      <c r="C319" t="s">
        <v>275</v>
      </c>
      <c r="D319" t="s">
        <v>621</v>
      </c>
      <c r="E319" t="s">
        <v>255</v>
      </c>
      <c r="F319">
        <v>108</v>
      </c>
      <c r="H319" s="2">
        <f>COUNTIF(K:K,A319)</f>
        <v>1</v>
      </c>
      <c r="I319" s="2">
        <f t="shared" si="4"/>
        <v>0</v>
      </c>
      <c r="K319">
        <v>12396</v>
      </c>
      <c r="L319" t="s">
        <v>735</v>
      </c>
      <c r="M319" t="s">
        <v>283</v>
      </c>
      <c r="N319">
        <v>15</v>
      </c>
      <c r="O319" t="s">
        <v>255</v>
      </c>
      <c r="P319">
        <v>94</v>
      </c>
      <c r="R319" t="str">
        <f ca="1">IFERROR(IF(VLOOKUP(K319,A:F,6,FALSE)&lt;&gt;P319,"INSERT INTO playerTPEHistory ( playerID, playerTPE, historyDate, historySeason, historyWeek, historyLeague ) VALUES ("&amp;K319&amp;", "&amp;F319&amp;", '"&amp;TEXT(NOW(),"yyyy-mm-dd")&amp;"', "&amp;$E$1&amp;", "&amp;$G$1&amp;", '"&amp;VLOOKUP(E319,Index!B:C,2,FALSE)&amp;" ' );",""),"")</f>
        <v>INSERT INTO playerTPEHistory ( playerID, playerTPE, historyDate, historySeason, historyWeek, historyLeague ) VALUES (12396, 108, '2019-04-01', 14, 4, 'DSFL ' );</v>
      </c>
    </row>
    <row r="320" spans="1:18" x14ac:dyDescent="0.25">
      <c r="A320">
        <v>12281</v>
      </c>
      <c r="B320" t="s">
        <v>739</v>
      </c>
      <c r="C320" t="s">
        <v>282</v>
      </c>
      <c r="D320" t="s">
        <v>621</v>
      </c>
      <c r="E320" t="s">
        <v>255</v>
      </c>
      <c r="F320">
        <v>98</v>
      </c>
      <c r="H320" s="2">
        <f>COUNTIF(K:K,A320)</f>
        <v>1</v>
      </c>
      <c r="I320" s="2">
        <f t="shared" si="4"/>
        <v>0</v>
      </c>
      <c r="K320">
        <v>12417</v>
      </c>
      <c r="L320" t="s">
        <v>736</v>
      </c>
      <c r="M320" t="s">
        <v>277</v>
      </c>
      <c r="N320">
        <v>15</v>
      </c>
      <c r="O320" t="s">
        <v>255</v>
      </c>
      <c r="P320">
        <v>50</v>
      </c>
      <c r="R320" t="str">
        <f ca="1">IFERROR(IF(VLOOKUP(K320,A:F,6,FALSE)&lt;&gt;P320,"INSERT INTO playerTPEHistory ( playerID, playerTPE, historyDate, historySeason, historyWeek, historyLeague ) VALUES ("&amp;K320&amp;", "&amp;F320&amp;", '"&amp;TEXT(NOW(),"yyyy-mm-dd")&amp;"', "&amp;$E$1&amp;", "&amp;$G$1&amp;", '"&amp;VLOOKUP(E320,Index!B:C,2,FALSE)&amp;" ' );",""),"")</f>
        <v/>
      </c>
    </row>
    <row r="321" spans="1:18" x14ac:dyDescent="0.25">
      <c r="A321">
        <v>12275</v>
      </c>
      <c r="B321" t="s">
        <v>740</v>
      </c>
      <c r="C321" t="s">
        <v>278</v>
      </c>
      <c r="D321" t="s">
        <v>621</v>
      </c>
      <c r="E321" t="s">
        <v>255</v>
      </c>
      <c r="F321">
        <v>50</v>
      </c>
      <c r="H321" s="2">
        <f>COUNTIF(K:K,A321)</f>
        <v>1</v>
      </c>
      <c r="I321" s="2">
        <f t="shared" si="4"/>
        <v>0</v>
      </c>
      <c r="K321">
        <v>12318</v>
      </c>
      <c r="L321" t="s">
        <v>737</v>
      </c>
      <c r="M321" t="s">
        <v>277</v>
      </c>
      <c r="N321">
        <v>15</v>
      </c>
      <c r="O321" t="s">
        <v>255</v>
      </c>
      <c r="P321">
        <v>108</v>
      </c>
      <c r="R321" t="str">
        <f ca="1">IFERROR(IF(VLOOKUP(K321,A:F,6,FALSE)&lt;&gt;P321,"INSERT INTO playerTPEHistory ( playerID, playerTPE, historyDate, historySeason, historyWeek, historyLeague ) VALUES ("&amp;K321&amp;", "&amp;F321&amp;", '"&amp;TEXT(NOW(),"yyyy-mm-dd")&amp;"', "&amp;$E$1&amp;", "&amp;$G$1&amp;", '"&amp;VLOOKUP(E321,Index!B:C,2,FALSE)&amp;" ' );",""),"")</f>
        <v>INSERT INTO playerTPEHistory ( playerID, playerTPE, historyDate, historySeason, historyWeek, historyLeague ) VALUES (12318, 50, '2019-04-01', 14, 4, 'DSFL ' );</v>
      </c>
    </row>
    <row r="322" spans="1:18" x14ac:dyDescent="0.25">
      <c r="A322">
        <v>12257</v>
      </c>
      <c r="B322" t="s">
        <v>691</v>
      </c>
      <c r="C322" t="s">
        <v>277</v>
      </c>
      <c r="D322" t="s">
        <v>621</v>
      </c>
      <c r="E322" t="s">
        <v>255</v>
      </c>
      <c r="F322">
        <v>50</v>
      </c>
      <c r="H322" s="2">
        <f>COUNTIF(K:K,A322)</f>
        <v>1</v>
      </c>
      <c r="I322" s="2">
        <f t="shared" si="4"/>
        <v>0</v>
      </c>
      <c r="K322">
        <v>12282</v>
      </c>
      <c r="L322" t="s">
        <v>738</v>
      </c>
      <c r="M322" t="s">
        <v>275</v>
      </c>
      <c r="N322">
        <v>15</v>
      </c>
      <c r="O322" t="s">
        <v>255</v>
      </c>
      <c r="P322">
        <v>89</v>
      </c>
      <c r="R322" t="str">
        <f ca="1">IFERROR(IF(VLOOKUP(K322,A:F,6,FALSE)&lt;&gt;P322,"INSERT INTO playerTPEHistory ( playerID, playerTPE, historyDate, historySeason, historyWeek, historyLeague ) VALUES ("&amp;K322&amp;", "&amp;F322&amp;", '"&amp;TEXT(NOW(),"yyyy-mm-dd")&amp;"', "&amp;$E$1&amp;", "&amp;$G$1&amp;", '"&amp;VLOOKUP(E322,Index!B:C,2,FALSE)&amp;" ' );",""),"")</f>
        <v>INSERT INTO playerTPEHistory ( playerID, playerTPE, historyDate, historySeason, historyWeek, historyLeague ) VALUES (12282, 50, '2019-04-01', 14, 4, 'DSFL ' );</v>
      </c>
    </row>
    <row r="323" spans="1:18" x14ac:dyDescent="0.25">
      <c r="A323">
        <v>12249</v>
      </c>
      <c r="B323" t="s">
        <v>741</v>
      </c>
      <c r="C323" t="s">
        <v>282</v>
      </c>
      <c r="D323" t="s">
        <v>621</v>
      </c>
      <c r="E323" t="s">
        <v>255</v>
      </c>
      <c r="F323">
        <v>146</v>
      </c>
      <c r="H323" s="2">
        <f>COUNTIF(K:K,A323)</f>
        <v>1</v>
      </c>
      <c r="I323" s="2">
        <f t="shared" ref="I323:I364" si="5">IF(COUNTIF(A:A,K323)=0,1,0)</f>
        <v>0</v>
      </c>
      <c r="K323">
        <v>12281</v>
      </c>
      <c r="L323" t="s">
        <v>739</v>
      </c>
      <c r="M323" t="s">
        <v>282</v>
      </c>
      <c r="N323">
        <v>15</v>
      </c>
      <c r="O323" t="s">
        <v>255</v>
      </c>
      <c r="P323">
        <v>89</v>
      </c>
      <c r="R323" t="str">
        <f ca="1">IFERROR(IF(VLOOKUP(K323,A:F,6,FALSE)&lt;&gt;P323,"INSERT INTO playerTPEHistory ( playerID, playerTPE, historyDate, historySeason, historyWeek, historyLeague ) VALUES ("&amp;K323&amp;", "&amp;F323&amp;", '"&amp;TEXT(NOW(),"yyyy-mm-dd")&amp;"', "&amp;$E$1&amp;", "&amp;$G$1&amp;", '"&amp;VLOOKUP(E323,Index!B:C,2,FALSE)&amp;" ' );",""),"")</f>
        <v>INSERT INTO playerTPEHistory ( playerID, playerTPE, historyDate, historySeason, historyWeek, historyLeague ) VALUES (12281, 146, '2019-04-01', 14, 4, 'DSFL ' );</v>
      </c>
    </row>
    <row r="324" spans="1:18" x14ac:dyDescent="0.25">
      <c r="A324">
        <v>12224</v>
      </c>
      <c r="B324" t="s">
        <v>742</v>
      </c>
      <c r="C324" t="s">
        <v>280</v>
      </c>
      <c r="D324" t="s">
        <v>621</v>
      </c>
      <c r="E324" t="s">
        <v>255</v>
      </c>
      <c r="F324">
        <v>109</v>
      </c>
      <c r="H324" s="2">
        <f>COUNTIF(K:K,A324)</f>
        <v>1</v>
      </c>
      <c r="I324" s="2">
        <f t="shared" si="5"/>
        <v>0</v>
      </c>
      <c r="K324">
        <v>12275</v>
      </c>
      <c r="L324" t="s">
        <v>740</v>
      </c>
      <c r="M324" t="s">
        <v>278</v>
      </c>
      <c r="N324">
        <v>15</v>
      </c>
      <c r="O324" t="s">
        <v>255</v>
      </c>
      <c r="P324">
        <v>50</v>
      </c>
      <c r="R324" t="str">
        <f ca="1">IFERROR(IF(VLOOKUP(K324,A:F,6,FALSE)&lt;&gt;P324,"INSERT INTO playerTPEHistory ( playerID, playerTPE, historyDate, historySeason, historyWeek, historyLeague ) VALUES ("&amp;K324&amp;", "&amp;F324&amp;", '"&amp;TEXT(NOW(),"yyyy-mm-dd")&amp;"', "&amp;$E$1&amp;", "&amp;$G$1&amp;", '"&amp;VLOOKUP(E324,Index!B:C,2,FALSE)&amp;" ' );",""),"")</f>
        <v/>
      </c>
    </row>
    <row r="325" spans="1:18" x14ac:dyDescent="0.25">
      <c r="A325">
        <v>12198</v>
      </c>
      <c r="B325" t="s">
        <v>743</v>
      </c>
      <c r="C325" t="s">
        <v>276</v>
      </c>
      <c r="D325" t="s">
        <v>621</v>
      </c>
      <c r="E325" t="s">
        <v>255</v>
      </c>
      <c r="F325">
        <v>50</v>
      </c>
      <c r="H325" s="2">
        <f>COUNTIF(K:K,A325)</f>
        <v>1</v>
      </c>
      <c r="I325" s="2">
        <f t="shared" si="5"/>
        <v>0</v>
      </c>
      <c r="K325">
        <v>12257</v>
      </c>
      <c r="L325" t="s">
        <v>691</v>
      </c>
      <c r="M325" t="s">
        <v>277</v>
      </c>
      <c r="N325">
        <v>15</v>
      </c>
      <c r="O325" t="s">
        <v>255</v>
      </c>
      <c r="P325">
        <v>50</v>
      </c>
      <c r="R325" t="str">
        <f ca="1">IFERROR(IF(VLOOKUP(K325,A:F,6,FALSE)&lt;&gt;P325,"INSERT INTO playerTPEHistory ( playerID, playerTPE, historyDate, historySeason, historyWeek, historyLeague ) VALUES ("&amp;K325&amp;", "&amp;F325&amp;", '"&amp;TEXT(NOW(),"yyyy-mm-dd")&amp;"', "&amp;$E$1&amp;", "&amp;$G$1&amp;", '"&amp;VLOOKUP(E325,Index!B:C,2,FALSE)&amp;" ' );",""),"")</f>
        <v/>
      </c>
    </row>
    <row r="326" spans="1:18" x14ac:dyDescent="0.25">
      <c r="A326">
        <v>12194</v>
      </c>
      <c r="B326" t="s">
        <v>744</v>
      </c>
      <c r="C326" t="s">
        <v>275</v>
      </c>
      <c r="D326" t="s">
        <v>621</v>
      </c>
      <c r="E326" t="s">
        <v>255</v>
      </c>
      <c r="F326">
        <v>141</v>
      </c>
      <c r="H326" s="2">
        <f>COUNTIF(K:K,A326)</f>
        <v>1</v>
      </c>
      <c r="I326" s="2">
        <f t="shared" si="5"/>
        <v>0</v>
      </c>
      <c r="K326">
        <v>12249</v>
      </c>
      <c r="L326" t="s">
        <v>741</v>
      </c>
      <c r="M326" t="s">
        <v>282</v>
      </c>
      <c r="N326">
        <v>15</v>
      </c>
      <c r="O326" t="s">
        <v>255</v>
      </c>
      <c r="P326">
        <v>121</v>
      </c>
      <c r="R326" t="str">
        <f ca="1">IFERROR(IF(VLOOKUP(K326,A:F,6,FALSE)&lt;&gt;P326,"INSERT INTO playerTPEHistory ( playerID, playerTPE, historyDate, historySeason, historyWeek, historyLeague ) VALUES ("&amp;K326&amp;", "&amp;F326&amp;", '"&amp;TEXT(NOW(),"yyyy-mm-dd")&amp;"', "&amp;$E$1&amp;", "&amp;$G$1&amp;", '"&amp;VLOOKUP(E326,Index!B:C,2,FALSE)&amp;" ' );",""),"")</f>
        <v>INSERT INTO playerTPEHistory ( playerID, playerTPE, historyDate, historySeason, historyWeek, historyLeague ) VALUES (12249, 141, '2019-04-01', 14, 4, 'DSFL ' );</v>
      </c>
    </row>
    <row r="327" spans="1:18" x14ac:dyDescent="0.25">
      <c r="A327">
        <v>12173</v>
      </c>
      <c r="B327" t="s">
        <v>745</v>
      </c>
      <c r="C327" t="s">
        <v>281</v>
      </c>
      <c r="D327" t="s">
        <v>621</v>
      </c>
      <c r="E327" t="s">
        <v>255</v>
      </c>
      <c r="F327">
        <v>132</v>
      </c>
      <c r="H327" s="2">
        <f>COUNTIF(K:K,A327)</f>
        <v>1</v>
      </c>
      <c r="I327" s="2">
        <f t="shared" si="5"/>
        <v>0</v>
      </c>
      <c r="K327">
        <v>12224</v>
      </c>
      <c r="L327" t="s">
        <v>742</v>
      </c>
      <c r="M327" t="s">
        <v>280</v>
      </c>
      <c r="N327">
        <v>15</v>
      </c>
      <c r="O327" t="s">
        <v>255</v>
      </c>
      <c r="P327">
        <v>94</v>
      </c>
      <c r="R327" t="str">
        <f ca="1">IFERROR(IF(VLOOKUP(K327,A:F,6,FALSE)&lt;&gt;P327,"INSERT INTO playerTPEHistory ( playerID, playerTPE, historyDate, historySeason, historyWeek, historyLeague ) VALUES ("&amp;K327&amp;", "&amp;F327&amp;", '"&amp;TEXT(NOW(),"yyyy-mm-dd")&amp;"', "&amp;$E$1&amp;", "&amp;$G$1&amp;", '"&amp;VLOOKUP(E327,Index!B:C,2,FALSE)&amp;" ' );",""),"")</f>
        <v>INSERT INTO playerTPEHistory ( playerID, playerTPE, historyDate, historySeason, historyWeek, historyLeague ) VALUES (12224, 132, '2019-04-01', 14, 4, 'DSFL ' );</v>
      </c>
    </row>
    <row r="328" spans="1:18" x14ac:dyDescent="0.25">
      <c r="A328">
        <v>12140</v>
      </c>
      <c r="B328" t="s">
        <v>746</v>
      </c>
      <c r="C328" t="s">
        <v>283</v>
      </c>
      <c r="D328" t="s">
        <v>621</v>
      </c>
      <c r="E328" t="s">
        <v>255</v>
      </c>
      <c r="F328">
        <v>50</v>
      </c>
      <c r="H328" s="2">
        <f>COUNTIF(K:K,A328)</f>
        <v>1</v>
      </c>
      <c r="I328" s="2">
        <f t="shared" si="5"/>
        <v>0</v>
      </c>
      <c r="K328">
        <v>12194</v>
      </c>
      <c r="L328" t="s">
        <v>744</v>
      </c>
      <c r="M328" t="s">
        <v>275</v>
      </c>
      <c r="N328">
        <v>15</v>
      </c>
      <c r="O328" t="s">
        <v>255</v>
      </c>
      <c r="P328">
        <v>122</v>
      </c>
      <c r="R328" t="str">
        <f ca="1">IFERROR(IF(VLOOKUP(K328,A:F,6,FALSE)&lt;&gt;P328,"INSERT INTO playerTPEHistory ( playerID, playerTPE, historyDate, historySeason, historyWeek, historyLeague ) VALUES ("&amp;K328&amp;", "&amp;F328&amp;", '"&amp;TEXT(NOW(),"yyyy-mm-dd")&amp;"', "&amp;$E$1&amp;", "&amp;$G$1&amp;", '"&amp;VLOOKUP(E328,Index!B:C,2,FALSE)&amp;" ' );",""),"")</f>
        <v>INSERT INTO playerTPEHistory ( playerID, playerTPE, historyDate, historySeason, historyWeek, historyLeague ) VALUES (12194, 50, '2019-04-01', 14, 4, 'DSFL ' );</v>
      </c>
    </row>
    <row r="329" spans="1:18" x14ac:dyDescent="0.25">
      <c r="A329">
        <v>12163</v>
      </c>
      <c r="B329" t="s">
        <v>747</v>
      </c>
      <c r="C329" t="s">
        <v>277</v>
      </c>
      <c r="D329" t="s">
        <v>621</v>
      </c>
      <c r="E329" t="s">
        <v>255</v>
      </c>
      <c r="F329">
        <v>160</v>
      </c>
      <c r="H329" s="2">
        <f>COUNTIF(K:K,A329)</f>
        <v>1</v>
      </c>
      <c r="I329" s="2">
        <f t="shared" si="5"/>
        <v>0</v>
      </c>
      <c r="K329">
        <v>12173</v>
      </c>
      <c r="L329" t="s">
        <v>745</v>
      </c>
      <c r="M329" t="s">
        <v>281</v>
      </c>
      <c r="N329">
        <v>15</v>
      </c>
      <c r="O329" t="s">
        <v>255</v>
      </c>
      <c r="P329">
        <v>121</v>
      </c>
      <c r="R329" t="str">
        <f ca="1">IFERROR(IF(VLOOKUP(K329,A:F,6,FALSE)&lt;&gt;P329,"INSERT INTO playerTPEHistory ( playerID, playerTPE, historyDate, historySeason, historyWeek, historyLeague ) VALUES ("&amp;K329&amp;", "&amp;F329&amp;", '"&amp;TEXT(NOW(),"yyyy-mm-dd")&amp;"', "&amp;$E$1&amp;", "&amp;$G$1&amp;", '"&amp;VLOOKUP(E329,Index!B:C,2,FALSE)&amp;" ' );",""),"")</f>
        <v>INSERT INTO playerTPEHistory ( playerID, playerTPE, historyDate, historySeason, historyWeek, historyLeague ) VALUES (12173, 160, '2019-04-01', 14, 4, 'DSFL ' );</v>
      </c>
    </row>
    <row r="330" spans="1:18" x14ac:dyDescent="0.25">
      <c r="A330">
        <v>12102</v>
      </c>
      <c r="B330" t="s">
        <v>748</v>
      </c>
      <c r="C330" t="s">
        <v>277</v>
      </c>
      <c r="D330" t="s">
        <v>621</v>
      </c>
      <c r="E330" t="s">
        <v>255</v>
      </c>
      <c r="F330">
        <v>137</v>
      </c>
      <c r="H330" s="2">
        <f>COUNTIF(K:K,A330)</f>
        <v>1</v>
      </c>
      <c r="I330" s="2">
        <f t="shared" si="5"/>
        <v>0</v>
      </c>
      <c r="K330">
        <v>12140</v>
      </c>
      <c r="L330" t="s">
        <v>746</v>
      </c>
      <c r="M330" t="s">
        <v>283</v>
      </c>
      <c r="N330">
        <v>15</v>
      </c>
      <c r="O330" t="s">
        <v>255</v>
      </c>
      <c r="P330">
        <v>50</v>
      </c>
      <c r="R330" t="str">
        <f ca="1">IFERROR(IF(VLOOKUP(K330,A:F,6,FALSE)&lt;&gt;P330,"INSERT INTO playerTPEHistory ( playerID, playerTPE, historyDate, historySeason, historyWeek, historyLeague ) VALUES ("&amp;K330&amp;", "&amp;F330&amp;", '"&amp;TEXT(NOW(),"yyyy-mm-dd")&amp;"', "&amp;$E$1&amp;", "&amp;$G$1&amp;", '"&amp;VLOOKUP(E330,Index!B:C,2,FALSE)&amp;" ' );",""),"")</f>
        <v/>
      </c>
    </row>
    <row r="331" spans="1:18" x14ac:dyDescent="0.25">
      <c r="A331">
        <v>12095</v>
      </c>
      <c r="B331" t="s">
        <v>749</v>
      </c>
      <c r="C331" t="s">
        <v>275</v>
      </c>
      <c r="D331" t="s">
        <v>621</v>
      </c>
      <c r="E331" t="s">
        <v>255</v>
      </c>
      <c r="F331">
        <v>148</v>
      </c>
      <c r="H331" s="2">
        <f>COUNTIF(K:K,A331)</f>
        <v>1</v>
      </c>
      <c r="I331" s="2">
        <f t="shared" si="5"/>
        <v>0</v>
      </c>
      <c r="K331">
        <v>12163</v>
      </c>
      <c r="L331" t="s">
        <v>747</v>
      </c>
      <c r="M331" t="s">
        <v>277</v>
      </c>
      <c r="N331">
        <v>15</v>
      </c>
      <c r="O331" t="s">
        <v>255</v>
      </c>
      <c r="P331">
        <v>133</v>
      </c>
      <c r="R331" t="str">
        <f ca="1">IFERROR(IF(VLOOKUP(K331,A:F,6,FALSE)&lt;&gt;P331,"INSERT INTO playerTPEHistory ( playerID, playerTPE, historyDate, historySeason, historyWeek, historyLeague ) VALUES ("&amp;K331&amp;", "&amp;F331&amp;", '"&amp;TEXT(NOW(),"yyyy-mm-dd")&amp;"', "&amp;$E$1&amp;", "&amp;$G$1&amp;", '"&amp;VLOOKUP(E331,Index!B:C,2,FALSE)&amp;" ' );",""),"")</f>
        <v>INSERT INTO playerTPEHistory ( playerID, playerTPE, historyDate, historySeason, historyWeek, historyLeague ) VALUES (12163, 148, '2019-04-01', 14, 4, 'DSFL ' );</v>
      </c>
    </row>
    <row r="332" spans="1:18" x14ac:dyDescent="0.25">
      <c r="A332">
        <v>12083</v>
      </c>
      <c r="B332" t="s">
        <v>750</v>
      </c>
      <c r="C332" t="s">
        <v>279</v>
      </c>
      <c r="D332" t="s">
        <v>621</v>
      </c>
      <c r="E332" t="s">
        <v>255</v>
      </c>
      <c r="F332">
        <v>103</v>
      </c>
      <c r="H332" s="2">
        <f>COUNTIF(K:K,A332)</f>
        <v>1</v>
      </c>
      <c r="I332" s="2">
        <f t="shared" si="5"/>
        <v>0</v>
      </c>
      <c r="K332">
        <v>12102</v>
      </c>
      <c r="L332" t="s">
        <v>748</v>
      </c>
      <c r="M332" t="s">
        <v>277</v>
      </c>
      <c r="N332">
        <v>15</v>
      </c>
      <c r="O332" t="s">
        <v>255</v>
      </c>
      <c r="P332">
        <v>126</v>
      </c>
      <c r="R332" t="str">
        <f ca="1">IFERROR(IF(VLOOKUP(K332,A:F,6,FALSE)&lt;&gt;P332,"INSERT INTO playerTPEHistory ( playerID, playerTPE, historyDate, historySeason, historyWeek, historyLeague ) VALUES ("&amp;K332&amp;", "&amp;F332&amp;", '"&amp;TEXT(NOW(),"yyyy-mm-dd")&amp;"', "&amp;$E$1&amp;", "&amp;$G$1&amp;", '"&amp;VLOOKUP(E332,Index!B:C,2,FALSE)&amp;" ' );",""),"")</f>
        <v>INSERT INTO playerTPEHistory ( playerID, playerTPE, historyDate, historySeason, historyWeek, historyLeague ) VALUES (12102, 103, '2019-04-01', 14, 4, 'DSFL ' );</v>
      </c>
    </row>
    <row r="333" spans="1:18" x14ac:dyDescent="0.25">
      <c r="A333">
        <v>12017</v>
      </c>
      <c r="B333" t="s">
        <v>751</v>
      </c>
      <c r="C333" t="s">
        <v>280</v>
      </c>
      <c r="D333" t="s">
        <v>621</v>
      </c>
      <c r="E333" t="s">
        <v>255</v>
      </c>
      <c r="F333">
        <v>186</v>
      </c>
      <c r="H333" s="2">
        <f>COUNTIF(K:K,A333)</f>
        <v>1</v>
      </c>
      <c r="I333" s="2">
        <f t="shared" si="5"/>
        <v>0</v>
      </c>
      <c r="K333">
        <v>12095</v>
      </c>
      <c r="L333" t="s">
        <v>749</v>
      </c>
      <c r="M333" t="s">
        <v>275</v>
      </c>
      <c r="N333">
        <v>15</v>
      </c>
      <c r="O333" t="s">
        <v>255</v>
      </c>
      <c r="P333">
        <v>121</v>
      </c>
      <c r="R333" t="str">
        <f ca="1">IFERROR(IF(VLOOKUP(K333,A:F,6,FALSE)&lt;&gt;P333,"INSERT INTO playerTPEHistory ( playerID, playerTPE, historyDate, historySeason, historyWeek, historyLeague ) VALUES ("&amp;K333&amp;", "&amp;F333&amp;", '"&amp;TEXT(NOW(),"yyyy-mm-dd")&amp;"', "&amp;$E$1&amp;", "&amp;$G$1&amp;", '"&amp;VLOOKUP(E333,Index!B:C,2,FALSE)&amp;" ' );",""),"")</f>
        <v>INSERT INTO playerTPEHistory ( playerID, playerTPE, historyDate, historySeason, historyWeek, historyLeague ) VALUES (12095, 186, '2019-04-01', 14, 4, 'DSFL ' );</v>
      </c>
    </row>
    <row r="334" spans="1:18" x14ac:dyDescent="0.25">
      <c r="A334">
        <v>11988</v>
      </c>
      <c r="B334" t="s">
        <v>752</v>
      </c>
      <c r="C334" t="s">
        <v>281</v>
      </c>
      <c r="D334" t="s">
        <v>621</v>
      </c>
      <c r="E334" t="s">
        <v>255</v>
      </c>
      <c r="F334">
        <v>50</v>
      </c>
      <c r="H334" s="2">
        <f>COUNTIF(K:K,A334)</f>
        <v>1</v>
      </c>
      <c r="I334" s="2">
        <f t="shared" si="5"/>
        <v>0</v>
      </c>
      <c r="K334">
        <v>12083</v>
      </c>
      <c r="L334" t="s">
        <v>750</v>
      </c>
      <c r="M334" t="s">
        <v>279</v>
      </c>
      <c r="N334">
        <v>15</v>
      </c>
      <c r="O334" t="s">
        <v>255</v>
      </c>
      <c r="P334">
        <v>96</v>
      </c>
      <c r="R334" t="str">
        <f ca="1">IFERROR(IF(VLOOKUP(K334,A:F,6,FALSE)&lt;&gt;P334,"INSERT INTO playerTPEHistory ( playerID, playerTPE, historyDate, historySeason, historyWeek, historyLeague ) VALUES ("&amp;K334&amp;", "&amp;F334&amp;", '"&amp;TEXT(NOW(),"yyyy-mm-dd")&amp;"', "&amp;$E$1&amp;", "&amp;$G$1&amp;", '"&amp;VLOOKUP(E334,Index!B:C,2,FALSE)&amp;" ' );",""),"")</f>
        <v>INSERT INTO playerTPEHistory ( playerID, playerTPE, historyDate, historySeason, historyWeek, historyLeague ) VALUES (12083, 50, '2019-04-01', 14, 4, 'DSFL ' );</v>
      </c>
    </row>
    <row r="335" spans="1:18" x14ac:dyDescent="0.25">
      <c r="A335">
        <v>10470</v>
      </c>
      <c r="B335" t="s">
        <v>753</v>
      </c>
      <c r="C335" t="s">
        <v>274</v>
      </c>
      <c r="D335" t="s">
        <v>411</v>
      </c>
      <c r="E335" t="s">
        <v>255</v>
      </c>
      <c r="F335">
        <v>95</v>
      </c>
      <c r="H335" s="2">
        <f>COUNTIF(K:K,A335)</f>
        <v>1</v>
      </c>
      <c r="I335" s="2">
        <f t="shared" si="5"/>
        <v>0</v>
      </c>
      <c r="K335">
        <v>12017</v>
      </c>
      <c r="L335" t="s">
        <v>751</v>
      </c>
      <c r="M335" t="s">
        <v>280</v>
      </c>
      <c r="N335">
        <v>15</v>
      </c>
      <c r="O335" t="s">
        <v>255</v>
      </c>
      <c r="P335">
        <v>175</v>
      </c>
      <c r="R335" t="str">
        <f ca="1">IFERROR(IF(VLOOKUP(K335,A:F,6,FALSE)&lt;&gt;P335,"INSERT INTO playerTPEHistory ( playerID, playerTPE, historyDate, historySeason, historyWeek, historyLeague ) VALUES ("&amp;K335&amp;", "&amp;F335&amp;", '"&amp;TEXT(NOW(),"yyyy-mm-dd")&amp;"', "&amp;$E$1&amp;", "&amp;$G$1&amp;", '"&amp;VLOOKUP(E335,Index!B:C,2,FALSE)&amp;" ' );",""),"")</f>
        <v>INSERT INTO playerTPEHistory ( playerID, playerTPE, historyDate, historySeason, historyWeek, historyLeague ) VALUES (12017, 95, '2019-04-01', 14, 4, 'DSFL ' );</v>
      </c>
    </row>
    <row r="336" spans="1:18" x14ac:dyDescent="0.25">
      <c r="A336">
        <v>9857</v>
      </c>
      <c r="B336" t="s">
        <v>754</v>
      </c>
      <c r="C336" t="s">
        <v>274</v>
      </c>
      <c r="D336" t="s">
        <v>418</v>
      </c>
      <c r="E336" t="s">
        <v>255</v>
      </c>
      <c r="F336">
        <v>76</v>
      </c>
      <c r="H336" s="2">
        <f>COUNTIF(K:K,A336)</f>
        <v>1</v>
      </c>
      <c r="I336" s="2">
        <f t="shared" si="5"/>
        <v>0</v>
      </c>
      <c r="K336">
        <v>11988</v>
      </c>
      <c r="L336" t="s">
        <v>752</v>
      </c>
      <c r="M336" t="s">
        <v>281</v>
      </c>
      <c r="N336">
        <v>15</v>
      </c>
      <c r="O336" t="s">
        <v>255</v>
      </c>
      <c r="P336">
        <v>50</v>
      </c>
      <c r="R336" t="str">
        <f ca="1">IFERROR(IF(VLOOKUP(K336,A:F,6,FALSE)&lt;&gt;P336,"INSERT INTO playerTPEHistory ( playerID, playerTPE, historyDate, historySeason, historyWeek, historyLeague ) VALUES ("&amp;K336&amp;", "&amp;F336&amp;", '"&amp;TEXT(NOW(),"yyyy-mm-dd")&amp;"', "&amp;$E$1&amp;", "&amp;$G$1&amp;", '"&amp;VLOOKUP(E336,Index!B:C,2,FALSE)&amp;" ' );",""),"")</f>
        <v/>
      </c>
    </row>
    <row r="337" spans="1:18" x14ac:dyDescent="0.25">
      <c r="A337">
        <v>12899</v>
      </c>
      <c r="B337" t="s">
        <v>755</v>
      </c>
      <c r="C337" t="s">
        <v>278</v>
      </c>
      <c r="D337" t="s">
        <v>621</v>
      </c>
      <c r="E337" t="s">
        <v>256</v>
      </c>
      <c r="F337">
        <v>50</v>
      </c>
      <c r="H337" s="2">
        <f>COUNTIF(K:K,A337)</f>
        <v>0</v>
      </c>
      <c r="I337" s="2">
        <f t="shared" si="5"/>
        <v>0</v>
      </c>
      <c r="K337">
        <v>12691</v>
      </c>
      <c r="L337" t="s">
        <v>756</v>
      </c>
      <c r="M337" t="s">
        <v>282</v>
      </c>
      <c r="N337">
        <v>15</v>
      </c>
      <c r="O337" t="s">
        <v>256</v>
      </c>
      <c r="P337">
        <v>100</v>
      </c>
      <c r="R337" t="str">
        <f ca="1">IFERROR(IF(VLOOKUP(K337,A:F,6,FALSE)&lt;&gt;P337,"INSERT INTO playerTPEHistory ( playerID, playerTPE, historyDate, historySeason, historyWeek, historyLeague ) VALUES ("&amp;K337&amp;", "&amp;F337&amp;", '"&amp;TEXT(NOW(),"yyyy-mm-dd")&amp;"', "&amp;$E$1&amp;", "&amp;$G$1&amp;", '"&amp;VLOOKUP(E337,Index!B:C,2,FALSE)&amp;" ' );",""),"")</f>
        <v>INSERT INTO playerTPEHistory ( playerID, playerTPE, historyDate, historySeason, historyWeek, historyLeague ) VALUES (12691, 50, '2019-04-01', 14, 4, 'DSFL ' );</v>
      </c>
    </row>
    <row r="338" spans="1:18" x14ac:dyDescent="0.25">
      <c r="A338">
        <v>12691</v>
      </c>
      <c r="B338" t="s">
        <v>756</v>
      </c>
      <c r="C338" t="s">
        <v>282</v>
      </c>
      <c r="D338" t="s">
        <v>621</v>
      </c>
      <c r="E338" t="s">
        <v>256</v>
      </c>
      <c r="F338">
        <v>111</v>
      </c>
      <c r="H338" s="2">
        <f>COUNTIF(K:K,A338)</f>
        <v>1</v>
      </c>
      <c r="I338" s="2">
        <f t="shared" si="5"/>
        <v>0</v>
      </c>
      <c r="K338">
        <v>12604</v>
      </c>
      <c r="L338" t="s">
        <v>757</v>
      </c>
      <c r="M338" t="s">
        <v>277</v>
      </c>
      <c r="N338">
        <v>15</v>
      </c>
      <c r="O338" t="s">
        <v>256</v>
      </c>
      <c r="P338">
        <v>55</v>
      </c>
      <c r="R338" t="str">
        <f ca="1">IFERROR(IF(VLOOKUP(K338,A:F,6,FALSE)&lt;&gt;P338,"INSERT INTO playerTPEHistory ( playerID, playerTPE, historyDate, historySeason, historyWeek, historyLeague ) VALUES ("&amp;K338&amp;", "&amp;F338&amp;", '"&amp;TEXT(NOW(),"yyyy-mm-dd")&amp;"', "&amp;$E$1&amp;", "&amp;$G$1&amp;", '"&amp;VLOOKUP(E338,Index!B:C,2,FALSE)&amp;" ' );",""),"")</f>
        <v/>
      </c>
    </row>
    <row r="339" spans="1:18" x14ac:dyDescent="0.25">
      <c r="A339">
        <v>12604</v>
      </c>
      <c r="B339" t="s">
        <v>757</v>
      </c>
      <c r="C339" t="s">
        <v>277</v>
      </c>
      <c r="D339" t="s">
        <v>621</v>
      </c>
      <c r="E339" t="s">
        <v>256</v>
      </c>
      <c r="F339">
        <v>55</v>
      </c>
      <c r="H339" s="2">
        <f>COUNTIF(K:K,A339)</f>
        <v>1</v>
      </c>
      <c r="I339" s="2">
        <f t="shared" si="5"/>
        <v>0</v>
      </c>
      <c r="K339">
        <v>12561</v>
      </c>
      <c r="L339" t="s">
        <v>758</v>
      </c>
      <c r="M339" t="s">
        <v>274</v>
      </c>
      <c r="N339">
        <v>15</v>
      </c>
      <c r="O339" t="s">
        <v>256</v>
      </c>
      <c r="P339">
        <v>82</v>
      </c>
      <c r="R339" t="str">
        <f ca="1">IFERROR(IF(VLOOKUP(K339,A:F,6,FALSE)&lt;&gt;P339,"INSERT INTO playerTPEHistory ( playerID, playerTPE, historyDate, historySeason, historyWeek, historyLeague ) VALUES ("&amp;K339&amp;", "&amp;F339&amp;", '"&amp;TEXT(NOW(),"yyyy-mm-dd")&amp;"', "&amp;$E$1&amp;", "&amp;$G$1&amp;", '"&amp;VLOOKUP(E339,Index!B:C,2,FALSE)&amp;" ' );",""),"")</f>
        <v/>
      </c>
    </row>
    <row r="340" spans="1:18" x14ac:dyDescent="0.25">
      <c r="A340">
        <v>12561</v>
      </c>
      <c r="B340" t="s">
        <v>758</v>
      </c>
      <c r="C340" t="s">
        <v>274</v>
      </c>
      <c r="D340" t="s">
        <v>621</v>
      </c>
      <c r="E340" t="s">
        <v>256</v>
      </c>
      <c r="F340">
        <v>82</v>
      </c>
      <c r="H340" s="2">
        <f>COUNTIF(K:K,A340)</f>
        <v>1</v>
      </c>
      <c r="I340" s="2">
        <f t="shared" si="5"/>
        <v>0</v>
      </c>
      <c r="K340">
        <v>12526</v>
      </c>
      <c r="L340" t="s">
        <v>759</v>
      </c>
      <c r="M340" t="s">
        <v>283</v>
      </c>
      <c r="N340">
        <v>15</v>
      </c>
      <c r="O340" t="s">
        <v>256</v>
      </c>
      <c r="P340">
        <v>50</v>
      </c>
      <c r="R340" t="str">
        <f ca="1">IFERROR(IF(VLOOKUP(K340,A:F,6,FALSE)&lt;&gt;P340,"INSERT INTO playerTPEHistory ( playerID, playerTPE, historyDate, historySeason, historyWeek, historyLeague ) VALUES ("&amp;K340&amp;", "&amp;F340&amp;", '"&amp;TEXT(NOW(),"yyyy-mm-dd")&amp;"', "&amp;$E$1&amp;", "&amp;$G$1&amp;", '"&amp;VLOOKUP(E340,Index!B:C,2,FALSE)&amp;" ' );",""),"")</f>
        <v/>
      </c>
    </row>
    <row r="341" spans="1:18" x14ac:dyDescent="0.25">
      <c r="A341">
        <v>12526</v>
      </c>
      <c r="B341" t="s">
        <v>759</v>
      </c>
      <c r="C341" t="s">
        <v>283</v>
      </c>
      <c r="D341" t="s">
        <v>621</v>
      </c>
      <c r="E341" t="s">
        <v>256</v>
      </c>
      <c r="F341">
        <v>50</v>
      </c>
      <c r="H341" s="2">
        <f>COUNTIF(K:K,A341)</f>
        <v>1</v>
      </c>
      <c r="I341" s="2">
        <f t="shared" si="5"/>
        <v>0</v>
      </c>
      <c r="K341">
        <v>12482</v>
      </c>
      <c r="L341" t="s">
        <v>760</v>
      </c>
      <c r="M341" t="s">
        <v>283</v>
      </c>
      <c r="N341">
        <v>15</v>
      </c>
      <c r="O341" t="s">
        <v>256</v>
      </c>
      <c r="P341">
        <v>121</v>
      </c>
      <c r="R341" t="str">
        <f ca="1">IFERROR(IF(VLOOKUP(K341,A:F,6,FALSE)&lt;&gt;P341,"INSERT INTO playerTPEHistory ( playerID, playerTPE, historyDate, historySeason, historyWeek, historyLeague ) VALUES ("&amp;K341&amp;", "&amp;F341&amp;", '"&amp;TEXT(NOW(),"yyyy-mm-dd")&amp;"', "&amp;$E$1&amp;", "&amp;$G$1&amp;", '"&amp;VLOOKUP(E341,Index!B:C,2,FALSE)&amp;" ' );",""),"")</f>
        <v>INSERT INTO playerTPEHistory ( playerID, playerTPE, historyDate, historySeason, historyWeek, historyLeague ) VALUES (12482, 50, '2019-04-01', 14, 4, 'DSFL ' );</v>
      </c>
    </row>
    <row r="342" spans="1:18" x14ac:dyDescent="0.25">
      <c r="A342">
        <v>12482</v>
      </c>
      <c r="B342" t="s">
        <v>760</v>
      </c>
      <c r="C342" t="s">
        <v>283</v>
      </c>
      <c r="D342" t="s">
        <v>621</v>
      </c>
      <c r="E342" t="s">
        <v>256</v>
      </c>
      <c r="F342">
        <v>132</v>
      </c>
      <c r="H342" s="2">
        <f>COUNTIF(K:K,A342)</f>
        <v>1</v>
      </c>
      <c r="I342" s="2">
        <f t="shared" si="5"/>
        <v>0</v>
      </c>
      <c r="K342">
        <v>12272</v>
      </c>
      <c r="L342" t="s">
        <v>761</v>
      </c>
      <c r="M342" t="s">
        <v>281</v>
      </c>
      <c r="N342">
        <v>15</v>
      </c>
      <c r="O342" t="s">
        <v>256</v>
      </c>
      <c r="P342">
        <v>83</v>
      </c>
      <c r="R342" t="str">
        <f ca="1">IFERROR(IF(VLOOKUP(K342,A:F,6,FALSE)&lt;&gt;P342,"INSERT INTO playerTPEHistory ( playerID, playerTPE, historyDate, historySeason, historyWeek, historyLeague ) VALUES ("&amp;K342&amp;", "&amp;F342&amp;", '"&amp;TEXT(NOW(),"yyyy-mm-dd")&amp;"', "&amp;$E$1&amp;", "&amp;$G$1&amp;", '"&amp;VLOOKUP(E342,Index!B:C,2,FALSE)&amp;" ' );",""),"")</f>
        <v/>
      </c>
    </row>
    <row r="343" spans="1:18" x14ac:dyDescent="0.25">
      <c r="A343">
        <v>12272</v>
      </c>
      <c r="B343" t="s">
        <v>761</v>
      </c>
      <c r="C343" t="s">
        <v>281</v>
      </c>
      <c r="D343" t="s">
        <v>621</v>
      </c>
      <c r="E343" t="s">
        <v>256</v>
      </c>
      <c r="F343">
        <v>83</v>
      </c>
      <c r="H343" s="2">
        <f>COUNTIF(K:K,A343)</f>
        <v>1</v>
      </c>
      <c r="I343" s="2">
        <f t="shared" si="5"/>
        <v>0</v>
      </c>
      <c r="K343">
        <v>12332</v>
      </c>
      <c r="L343" t="s">
        <v>762</v>
      </c>
      <c r="M343" t="s">
        <v>276</v>
      </c>
      <c r="N343">
        <v>15</v>
      </c>
      <c r="O343" t="s">
        <v>256</v>
      </c>
      <c r="P343">
        <v>99</v>
      </c>
      <c r="R343" t="str">
        <f ca="1">IFERROR(IF(VLOOKUP(K343,A:F,6,FALSE)&lt;&gt;P343,"INSERT INTO playerTPEHistory ( playerID, playerTPE, historyDate, historySeason, historyWeek, historyLeague ) VALUES ("&amp;K343&amp;", "&amp;F343&amp;", '"&amp;TEXT(NOW(),"yyyy-mm-dd")&amp;"', "&amp;$E$1&amp;", "&amp;$G$1&amp;", '"&amp;VLOOKUP(E343,Index!B:C,2,FALSE)&amp;" ' );",""),"")</f>
        <v/>
      </c>
    </row>
    <row r="344" spans="1:18" x14ac:dyDescent="0.25">
      <c r="A344">
        <v>12332</v>
      </c>
      <c r="B344" t="s">
        <v>762</v>
      </c>
      <c r="C344" t="s">
        <v>276</v>
      </c>
      <c r="D344" t="s">
        <v>621</v>
      </c>
      <c r="E344" t="s">
        <v>256</v>
      </c>
      <c r="F344">
        <v>99</v>
      </c>
      <c r="H344" s="2">
        <f>COUNTIF(K:K,A344)</f>
        <v>1</v>
      </c>
      <c r="I344" s="2">
        <f t="shared" si="5"/>
        <v>0</v>
      </c>
      <c r="K344">
        <v>12299</v>
      </c>
      <c r="L344" t="s">
        <v>763</v>
      </c>
      <c r="M344" t="s">
        <v>275</v>
      </c>
      <c r="N344">
        <v>15</v>
      </c>
      <c r="O344" t="s">
        <v>256</v>
      </c>
      <c r="P344">
        <v>50</v>
      </c>
      <c r="R344" t="str">
        <f ca="1">IFERROR(IF(VLOOKUP(K344,A:F,6,FALSE)&lt;&gt;P344,"INSERT INTO playerTPEHistory ( playerID, playerTPE, historyDate, historySeason, historyWeek, historyLeague ) VALUES ("&amp;K344&amp;", "&amp;F344&amp;", '"&amp;TEXT(NOW(),"yyyy-mm-dd")&amp;"', "&amp;$E$1&amp;", "&amp;$G$1&amp;", '"&amp;VLOOKUP(E344,Index!B:C,2,FALSE)&amp;" ' );",""),"")</f>
        <v/>
      </c>
    </row>
    <row r="345" spans="1:18" x14ac:dyDescent="0.25">
      <c r="A345">
        <v>12299</v>
      </c>
      <c r="B345" t="s">
        <v>763</v>
      </c>
      <c r="C345" t="s">
        <v>275</v>
      </c>
      <c r="D345" t="s">
        <v>621</v>
      </c>
      <c r="E345" t="s">
        <v>256</v>
      </c>
      <c r="F345">
        <v>50</v>
      </c>
      <c r="H345" s="2">
        <f>COUNTIF(K:K,A345)</f>
        <v>1</v>
      </c>
      <c r="I345" s="2">
        <f t="shared" si="5"/>
        <v>0</v>
      </c>
      <c r="K345">
        <v>12296</v>
      </c>
      <c r="L345" t="s">
        <v>764</v>
      </c>
      <c r="M345" t="s">
        <v>281</v>
      </c>
      <c r="N345">
        <v>15</v>
      </c>
      <c r="O345" t="s">
        <v>256</v>
      </c>
      <c r="P345">
        <v>151</v>
      </c>
      <c r="R345" t="str">
        <f ca="1">IFERROR(IF(VLOOKUP(K345,A:F,6,FALSE)&lt;&gt;P345,"INSERT INTO playerTPEHistory ( playerID, playerTPE, historyDate, historySeason, historyWeek, historyLeague ) VALUES ("&amp;K345&amp;", "&amp;F345&amp;", '"&amp;TEXT(NOW(),"yyyy-mm-dd")&amp;"', "&amp;$E$1&amp;", "&amp;$G$1&amp;", '"&amp;VLOOKUP(E345,Index!B:C,2,FALSE)&amp;" ' );",""),"")</f>
        <v>INSERT INTO playerTPEHistory ( playerID, playerTPE, historyDate, historySeason, historyWeek, historyLeague ) VALUES (12296, 50, '2019-04-01', 14, 4, 'DSFL ' );</v>
      </c>
    </row>
    <row r="346" spans="1:18" x14ac:dyDescent="0.25">
      <c r="A346">
        <v>12296</v>
      </c>
      <c r="B346" t="s">
        <v>764</v>
      </c>
      <c r="C346" t="s">
        <v>281</v>
      </c>
      <c r="D346" t="s">
        <v>621</v>
      </c>
      <c r="E346" t="s">
        <v>256</v>
      </c>
      <c r="F346">
        <v>160</v>
      </c>
      <c r="H346" s="2">
        <f>COUNTIF(K:K,A346)</f>
        <v>1</v>
      </c>
      <c r="I346" s="2">
        <f t="shared" si="5"/>
        <v>0</v>
      </c>
      <c r="K346">
        <v>12290</v>
      </c>
      <c r="L346" t="s">
        <v>765</v>
      </c>
      <c r="M346" t="s">
        <v>276</v>
      </c>
      <c r="N346">
        <v>15</v>
      </c>
      <c r="O346" t="s">
        <v>256</v>
      </c>
      <c r="P346">
        <v>122</v>
      </c>
      <c r="R346" t="str">
        <f ca="1">IFERROR(IF(VLOOKUP(K346,A:F,6,FALSE)&lt;&gt;P346,"INSERT INTO playerTPEHistory ( playerID, playerTPE, historyDate, historySeason, historyWeek, historyLeague ) VALUES ("&amp;K346&amp;", "&amp;F346&amp;", '"&amp;TEXT(NOW(),"yyyy-mm-dd")&amp;"', "&amp;$E$1&amp;", "&amp;$G$1&amp;", '"&amp;VLOOKUP(E346,Index!B:C,2,FALSE)&amp;" ' );",""),"")</f>
        <v/>
      </c>
    </row>
    <row r="347" spans="1:18" x14ac:dyDescent="0.25">
      <c r="A347">
        <v>12290</v>
      </c>
      <c r="B347" t="s">
        <v>765</v>
      </c>
      <c r="C347" t="s">
        <v>276</v>
      </c>
      <c r="D347" t="s">
        <v>621</v>
      </c>
      <c r="E347" t="s">
        <v>256</v>
      </c>
      <c r="F347">
        <v>122</v>
      </c>
      <c r="H347" s="2">
        <f>COUNTIF(K:K,A347)</f>
        <v>1</v>
      </c>
      <c r="I347" s="2">
        <f t="shared" si="5"/>
        <v>0</v>
      </c>
      <c r="K347">
        <v>12240</v>
      </c>
      <c r="L347" t="s">
        <v>766</v>
      </c>
      <c r="M347" t="s">
        <v>282</v>
      </c>
      <c r="N347">
        <v>15</v>
      </c>
      <c r="O347" t="s">
        <v>256</v>
      </c>
      <c r="P347">
        <v>118</v>
      </c>
      <c r="R347" t="str">
        <f ca="1">IFERROR(IF(VLOOKUP(K347,A:F,6,FALSE)&lt;&gt;P347,"INSERT INTO playerTPEHistory ( playerID, playerTPE, historyDate, historySeason, historyWeek, historyLeague ) VALUES ("&amp;K347&amp;", "&amp;F347&amp;", '"&amp;TEXT(NOW(),"yyyy-mm-dd")&amp;"', "&amp;$E$1&amp;", "&amp;$G$1&amp;", '"&amp;VLOOKUP(E347,Index!B:C,2,FALSE)&amp;" ' );",""),"")</f>
        <v/>
      </c>
    </row>
    <row r="348" spans="1:18" x14ac:dyDescent="0.25">
      <c r="A348">
        <v>12240</v>
      </c>
      <c r="B348" t="s">
        <v>766</v>
      </c>
      <c r="C348" t="s">
        <v>282</v>
      </c>
      <c r="D348" t="s">
        <v>621</v>
      </c>
      <c r="E348" t="s">
        <v>256</v>
      </c>
      <c r="F348">
        <v>118</v>
      </c>
      <c r="H348" s="2">
        <f>COUNTIF(K:K,A348)</f>
        <v>1</v>
      </c>
      <c r="I348" s="2">
        <f t="shared" si="5"/>
        <v>0</v>
      </c>
      <c r="K348">
        <v>12143</v>
      </c>
      <c r="L348" t="s">
        <v>768</v>
      </c>
      <c r="M348" t="s">
        <v>275</v>
      </c>
      <c r="N348">
        <v>15</v>
      </c>
      <c r="O348" t="s">
        <v>256</v>
      </c>
      <c r="P348">
        <v>111</v>
      </c>
      <c r="R348" t="str">
        <f ca="1">IFERROR(IF(VLOOKUP(K348,A:F,6,FALSE)&lt;&gt;P348,"INSERT INTO playerTPEHistory ( playerID, playerTPE, historyDate, historySeason, historyWeek, historyLeague ) VALUES ("&amp;K348&amp;", "&amp;F348&amp;", '"&amp;TEXT(NOW(),"yyyy-mm-dd")&amp;"', "&amp;$E$1&amp;", "&amp;$G$1&amp;", '"&amp;VLOOKUP(E348,Index!B:C,2,FALSE)&amp;" ' );",""),"")</f>
        <v/>
      </c>
    </row>
    <row r="349" spans="1:18" x14ac:dyDescent="0.25">
      <c r="A349">
        <v>12226</v>
      </c>
      <c r="B349" t="s">
        <v>767</v>
      </c>
      <c r="C349" t="s">
        <v>275</v>
      </c>
      <c r="D349" t="s">
        <v>621</v>
      </c>
      <c r="E349" t="s">
        <v>256</v>
      </c>
      <c r="F349">
        <v>50</v>
      </c>
      <c r="H349" s="2">
        <f>COUNTIF(K:K,A349)</f>
        <v>1</v>
      </c>
      <c r="I349" s="2">
        <f t="shared" si="5"/>
        <v>0</v>
      </c>
      <c r="K349">
        <v>12188</v>
      </c>
      <c r="L349" t="s">
        <v>769</v>
      </c>
      <c r="M349" t="s">
        <v>275</v>
      </c>
      <c r="N349">
        <v>15</v>
      </c>
      <c r="O349" t="s">
        <v>256</v>
      </c>
      <c r="P349">
        <v>87</v>
      </c>
      <c r="R349" t="str">
        <f ca="1">IFERROR(IF(VLOOKUP(K349,A:F,6,FALSE)&lt;&gt;P349,"INSERT INTO playerTPEHistory ( playerID, playerTPE, historyDate, historySeason, historyWeek, historyLeague ) VALUES ("&amp;K349&amp;", "&amp;F349&amp;", '"&amp;TEXT(NOW(),"yyyy-mm-dd")&amp;"', "&amp;$E$1&amp;", "&amp;$G$1&amp;", '"&amp;VLOOKUP(E349,Index!B:C,2,FALSE)&amp;" ' );",""),"")</f>
        <v>INSERT INTO playerTPEHistory ( playerID, playerTPE, historyDate, historySeason, historyWeek, historyLeague ) VALUES (12188, 50, '2019-04-01', 14, 4, 'DSFL ' );</v>
      </c>
    </row>
    <row r="350" spans="1:18" x14ac:dyDescent="0.25">
      <c r="A350">
        <v>12143</v>
      </c>
      <c r="B350" t="s">
        <v>768</v>
      </c>
      <c r="C350" t="s">
        <v>275</v>
      </c>
      <c r="D350" t="s">
        <v>621</v>
      </c>
      <c r="E350" t="s">
        <v>256</v>
      </c>
      <c r="F350">
        <v>111</v>
      </c>
      <c r="H350" s="2">
        <f>COUNTIF(K:K,A350)</f>
        <v>1</v>
      </c>
      <c r="I350" s="2">
        <f t="shared" si="5"/>
        <v>0</v>
      </c>
      <c r="K350">
        <v>12154</v>
      </c>
      <c r="L350" t="s">
        <v>770</v>
      </c>
      <c r="M350" t="s">
        <v>278</v>
      </c>
      <c r="N350">
        <v>15</v>
      </c>
      <c r="O350" t="s">
        <v>256</v>
      </c>
      <c r="P350">
        <v>50</v>
      </c>
      <c r="R350" t="str">
        <f ca="1">IFERROR(IF(VLOOKUP(K350,A:F,6,FALSE)&lt;&gt;P350,"INSERT INTO playerTPEHistory ( playerID, playerTPE, historyDate, historySeason, historyWeek, historyLeague ) VALUES ("&amp;K350&amp;", "&amp;F350&amp;", '"&amp;TEXT(NOW(),"yyyy-mm-dd")&amp;"', "&amp;$E$1&amp;", "&amp;$G$1&amp;", '"&amp;VLOOKUP(E350,Index!B:C,2,FALSE)&amp;" ' );",""),"")</f>
        <v/>
      </c>
    </row>
    <row r="351" spans="1:18" x14ac:dyDescent="0.25">
      <c r="A351">
        <v>12188</v>
      </c>
      <c r="B351" t="s">
        <v>769</v>
      </c>
      <c r="C351" t="s">
        <v>275</v>
      </c>
      <c r="D351" t="s">
        <v>621</v>
      </c>
      <c r="E351" t="s">
        <v>256</v>
      </c>
      <c r="F351">
        <v>128</v>
      </c>
      <c r="H351" s="2">
        <f>COUNTIF(K:K,A351)</f>
        <v>1</v>
      </c>
      <c r="I351" s="2">
        <f t="shared" si="5"/>
        <v>0</v>
      </c>
      <c r="K351">
        <v>12153</v>
      </c>
      <c r="L351" t="s">
        <v>771</v>
      </c>
      <c r="M351" t="s">
        <v>280</v>
      </c>
      <c r="N351">
        <v>15</v>
      </c>
      <c r="O351" t="s">
        <v>256</v>
      </c>
      <c r="P351">
        <v>50</v>
      </c>
      <c r="R351" t="str">
        <f ca="1">IFERROR(IF(VLOOKUP(K351,A:F,6,FALSE)&lt;&gt;P351,"INSERT INTO playerTPEHistory ( playerID, playerTPE, historyDate, historySeason, historyWeek, historyLeague ) VALUES ("&amp;K351&amp;", "&amp;F351&amp;", '"&amp;TEXT(NOW(),"yyyy-mm-dd")&amp;"', "&amp;$E$1&amp;", "&amp;$G$1&amp;", '"&amp;VLOOKUP(E351,Index!B:C,2,FALSE)&amp;" ' );",""),"")</f>
        <v/>
      </c>
    </row>
    <row r="352" spans="1:18" x14ac:dyDescent="0.25">
      <c r="A352">
        <v>12154</v>
      </c>
      <c r="B352" t="s">
        <v>770</v>
      </c>
      <c r="C352" t="s">
        <v>278</v>
      </c>
      <c r="D352" t="s">
        <v>621</v>
      </c>
      <c r="E352" t="s">
        <v>256</v>
      </c>
      <c r="F352">
        <v>50</v>
      </c>
      <c r="H352" s="2">
        <f>COUNTIF(K:K,A352)</f>
        <v>1</v>
      </c>
      <c r="I352" s="2">
        <f t="shared" si="5"/>
        <v>0</v>
      </c>
      <c r="K352">
        <v>12138</v>
      </c>
      <c r="L352" t="s">
        <v>772</v>
      </c>
      <c r="M352" t="s">
        <v>275</v>
      </c>
      <c r="N352">
        <v>15</v>
      </c>
      <c r="O352" t="s">
        <v>256</v>
      </c>
      <c r="P352">
        <v>117</v>
      </c>
      <c r="R352" t="str">
        <f ca="1">IFERROR(IF(VLOOKUP(K352,A:F,6,FALSE)&lt;&gt;P352,"INSERT INTO playerTPEHistory ( playerID, playerTPE, historyDate, historySeason, historyWeek, historyLeague ) VALUES ("&amp;K352&amp;", "&amp;F352&amp;", '"&amp;TEXT(NOW(),"yyyy-mm-dd")&amp;"', "&amp;$E$1&amp;", "&amp;$G$1&amp;", '"&amp;VLOOKUP(E352,Index!B:C,2,FALSE)&amp;" ' );",""),"")</f>
        <v>INSERT INTO playerTPEHistory ( playerID, playerTPE, historyDate, historySeason, historyWeek, historyLeague ) VALUES (12138, 50, '2019-04-01', 14, 4, 'DSFL ' );</v>
      </c>
    </row>
    <row r="353" spans="1:18" x14ac:dyDescent="0.25">
      <c r="A353">
        <v>12153</v>
      </c>
      <c r="B353" t="s">
        <v>771</v>
      </c>
      <c r="C353" t="s">
        <v>280</v>
      </c>
      <c r="D353" t="s">
        <v>621</v>
      </c>
      <c r="E353" t="s">
        <v>256</v>
      </c>
      <c r="F353">
        <v>50</v>
      </c>
      <c r="H353" s="2">
        <f>COUNTIF(K:K,A353)</f>
        <v>1</v>
      </c>
      <c r="I353" s="2">
        <f t="shared" si="5"/>
        <v>0</v>
      </c>
      <c r="K353">
        <v>12107</v>
      </c>
      <c r="L353" t="s">
        <v>773</v>
      </c>
      <c r="M353" t="s">
        <v>278</v>
      </c>
      <c r="N353">
        <v>15</v>
      </c>
      <c r="O353" t="s">
        <v>256</v>
      </c>
      <c r="P353">
        <v>87</v>
      </c>
      <c r="R353" t="str">
        <f ca="1">IFERROR(IF(VLOOKUP(K353,A:F,6,FALSE)&lt;&gt;P353,"INSERT INTO playerTPEHistory ( playerID, playerTPE, historyDate, historySeason, historyWeek, historyLeague ) VALUES ("&amp;K353&amp;", "&amp;F353&amp;", '"&amp;TEXT(NOW(),"yyyy-mm-dd")&amp;"', "&amp;$E$1&amp;", "&amp;$G$1&amp;", '"&amp;VLOOKUP(E353,Index!B:C,2,FALSE)&amp;" ' );",""),"")</f>
        <v/>
      </c>
    </row>
    <row r="354" spans="1:18" x14ac:dyDescent="0.25">
      <c r="A354">
        <v>12138</v>
      </c>
      <c r="B354" t="s">
        <v>772</v>
      </c>
      <c r="C354" t="s">
        <v>275</v>
      </c>
      <c r="D354" t="s">
        <v>621</v>
      </c>
      <c r="E354" t="s">
        <v>256</v>
      </c>
      <c r="F354">
        <v>124</v>
      </c>
      <c r="H354" s="2">
        <f>COUNTIF(K:K,A354)</f>
        <v>1</v>
      </c>
      <c r="I354" s="2">
        <f t="shared" si="5"/>
        <v>0</v>
      </c>
      <c r="K354">
        <v>12063</v>
      </c>
      <c r="L354" t="s">
        <v>774</v>
      </c>
      <c r="M354" t="s">
        <v>278</v>
      </c>
      <c r="N354">
        <v>15</v>
      </c>
      <c r="O354" t="s">
        <v>256</v>
      </c>
      <c r="P354">
        <v>149</v>
      </c>
      <c r="R354" t="str">
        <f ca="1">IFERROR(IF(VLOOKUP(K354,A:F,6,FALSE)&lt;&gt;P354,"INSERT INTO playerTPEHistory ( playerID, playerTPE, historyDate, historySeason, historyWeek, historyLeague ) VALUES ("&amp;K354&amp;", "&amp;F354&amp;", '"&amp;TEXT(NOW(),"yyyy-mm-dd")&amp;"', "&amp;$E$1&amp;", "&amp;$G$1&amp;", '"&amp;VLOOKUP(E354,Index!B:C,2,FALSE)&amp;" ' );",""),"")</f>
        <v>INSERT INTO playerTPEHistory ( playerID, playerTPE, historyDate, historySeason, historyWeek, historyLeague ) VALUES (12063, 124, '2019-04-01', 14, 4, 'DSFL ' );</v>
      </c>
    </row>
    <row r="355" spans="1:18" x14ac:dyDescent="0.25">
      <c r="A355">
        <v>12107</v>
      </c>
      <c r="B355" t="s">
        <v>773</v>
      </c>
      <c r="C355" t="s">
        <v>278</v>
      </c>
      <c r="D355" t="s">
        <v>621</v>
      </c>
      <c r="E355" t="s">
        <v>256</v>
      </c>
      <c r="F355">
        <v>87</v>
      </c>
      <c r="H355" s="2">
        <f>COUNTIF(K:K,A355)</f>
        <v>1</v>
      </c>
      <c r="I355" s="2">
        <f t="shared" si="5"/>
        <v>0</v>
      </c>
      <c r="K355">
        <v>12087</v>
      </c>
      <c r="L355" t="s">
        <v>775</v>
      </c>
      <c r="M355" t="s">
        <v>281</v>
      </c>
      <c r="N355">
        <v>15</v>
      </c>
      <c r="O355" t="s">
        <v>256</v>
      </c>
      <c r="P355">
        <v>153</v>
      </c>
      <c r="R355" t="str">
        <f ca="1">IFERROR(IF(VLOOKUP(K355,A:F,6,FALSE)&lt;&gt;P355,"INSERT INTO playerTPEHistory ( playerID, playerTPE, historyDate, historySeason, historyWeek, historyLeague ) VALUES ("&amp;K355&amp;", "&amp;F355&amp;", '"&amp;TEXT(NOW(),"yyyy-mm-dd")&amp;"', "&amp;$E$1&amp;", "&amp;$G$1&amp;", '"&amp;VLOOKUP(E355,Index!B:C,2,FALSE)&amp;" ' );",""),"")</f>
        <v>INSERT INTO playerTPEHistory ( playerID, playerTPE, historyDate, historySeason, historyWeek, historyLeague ) VALUES (12087, 87, '2019-04-01', 14, 4, 'DSFL ' );</v>
      </c>
    </row>
    <row r="356" spans="1:18" x14ac:dyDescent="0.25">
      <c r="A356">
        <v>12063</v>
      </c>
      <c r="B356" t="s">
        <v>774</v>
      </c>
      <c r="C356" t="s">
        <v>278</v>
      </c>
      <c r="D356" t="s">
        <v>621</v>
      </c>
      <c r="E356" t="s">
        <v>256</v>
      </c>
      <c r="F356">
        <v>160</v>
      </c>
      <c r="H356" s="2">
        <f>COUNTIF(K:K,A356)</f>
        <v>1</v>
      </c>
      <c r="I356" s="2">
        <f t="shared" si="5"/>
        <v>0</v>
      </c>
      <c r="K356">
        <v>12086</v>
      </c>
      <c r="L356" t="s">
        <v>776</v>
      </c>
      <c r="M356" t="s">
        <v>277</v>
      </c>
      <c r="N356">
        <v>15</v>
      </c>
      <c r="O356" t="s">
        <v>256</v>
      </c>
      <c r="P356">
        <v>105</v>
      </c>
      <c r="R356" t="str">
        <f ca="1">IFERROR(IF(VLOOKUP(K356,A:F,6,FALSE)&lt;&gt;P356,"INSERT INTO playerTPEHistory ( playerID, playerTPE, historyDate, historySeason, historyWeek, historyLeague ) VALUES ("&amp;K356&amp;", "&amp;F356&amp;", '"&amp;TEXT(NOW(),"yyyy-mm-dd")&amp;"', "&amp;$E$1&amp;", "&amp;$G$1&amp;", '"&amp;VLOOKUP(E356,Index!B:C,2,FALSE)&amp;" ' );",""),"")</f>
        <v>INSERT INTO playerTPEHistory ( playerID, playerTPE, historyDate, historySeason, historyWeek, historyLeague ) VALUES (12086, 160, '2019-04-01', 14, 4, 'DSFL ' );</v>
      </c>
    </row>
    <row r="357" spans="1:18" x14ac:dyDescent="0.25">
      <c r="A357">
        <v>12087</v>
      </c>
      <c r="B357" t="s">
        <v>775</v>
      </c>
      <c r="C357" t="s">
        <v>281</v>
      </c>
      <c r="D357" t="s">
        <v>621</v>
      </c>
      <c r="E357" t="s">
        <v>256</v>
      </c>
      <c r="F357">
        <v>164</v>
      </c>
      <c r="H357" s="2">
        <f>COUNTIF(K:K,A357)</f>
        <v>1</v>
      </c>
      <c r="I357" s="2">
        <f t="shared" si="5"/>
        <v>0</v>
      </c>
      <c r="K357">
        <v>11967</v>
      </c>
      <c r="L357" t="s">
        <v>777</v>
      </c>
      <c r="M357" t="s">
        <v>277</v>
      </c>
      <c r="N357">
        <v>15</v>
      </c>
      <c r="O357" t="s">
        <v>256</v>
      </c>
      <c r="P357">
        <v>158</v>
      </c>
      <c r="R357" t="str">
        <f ca="1">IFERROR(IF(VLOOKUP(K357,A:F,6,FALSE)&lt;&gt;P357,"INSERT INTO playerTPEHistory ( playerID, playerTPE, historyDate, historySeason, historyWeek, historyLeague ) VALUES ("&amp;K357&amp;", "&amp;F357&amp;", '"&amp;TEXT(NOW(),"yyyy-mm-dd")&amp;"', "&amp;$E$1&amp;", "&amp;$G$1&amp;", '"&amp;VLOOKUP(E357,Index!B:C,2,FALSE)&amp;" ' );",""),"")</f>
        <v/>
      </c>
    </row>
    <row r="358" spans="1:18" x14ac:dyDescent="0.25">
      <c r="A358">
        <v>12086</v>
      </c>
      <c r="B358" t="s">
        <v>776</v>
      </c>
      <c r="C358" t="s">
        <v>277</v>
      </c>
      <c r="D358" t="s">
        <v>621</v>
      </c>
      <c r="E358" t="s">
        <v>256</v>
      </c>
      <c r="F358">
        <v>122</v>
      </c>
      <c r="H358" s="2">
        <f>COUNTIF(K:K,A358)</f>
        <v>1</v>
      </c>
      <c r="I358" s="2">
        <f t="shared" si="5"/>
        <v>1</v>
      </c>
      <c r="K358">
        <v>9569</v>
      </c>
      <c r="L358" t="s">
        <v>783</v>
      </c>
      <c r="M358" t="s">
        <v>277</v>
      </c>
      <c r="N358">
        <v>10</v>
      </c>
      <c r="O358" t="s">
        <v>256</v>
      </c>
      <c r="P358">
        <v>50</v>
      </c>
      <c r="R358" t="str">
        <f ca="1">IFERROR(IF(VLOOKUP(K358,A:F,6,FALSE)&lt;&gt;P358,"INSERT INTO playerTPEHistory ( playerID, playerTPE, historyDate, historySeason, historyWeek, historyLeague ) VALUES ("&amp;K358&amp;", "&amp;F358&amp;", '"&amp;TEXT(NOW(),"yyyy-mm-dd")&amp;"', "&amp;$E$1&amp;", "&amp;$G$1&amp;", '"&amp;VLOOKUP(E358,Index!B:C,2,FALSE)&amp;" ' );",""),"")</f>
        <v/>
      </c>
    </row>
    <row r="359" spans="1:18" x14ac:dyDescent="0.25">
      <c r="A359">
        <v>11967</v>
      </c>
      <c r="B359" t="s">
        <v>777</v>
      </c>
      <c r="C359" t="s">
        <v>277</v>
      </c>
      <c r="D359" t="s">
        <v>621</v>
      </c>
      <c r="E359" t="s">
        <v>256</v>
      </c>
      <c r="F359">
        <v>158</v>
      </c>
      <c r="H359" s="2">
        <f>COUNTIF(K:K,A359)</f>
        <v>1</v>
      </c>
      <c r="I359" s="2">
        <f t="shared" si="5"/>
        <v>1</v>
      </c>
      <c r="K359">
        <v>9568</v>
      </c>
      <c r="L359" t="s">
        <v>784</v>
      </c>
      <c r="M359" t="s">
        <v>281</v>
      </c>
      <c r="N359">
        <v>10</v>
      </c>
      <c r="O359" t="s">
        <v>256</v>
      </c>
      <c r="P359">
        <v>50</v>
      </c>
      <c r="R359" t="str">
        <f ca="1">IFERROR(IF(VLOOKUP(K359,A:F,6,FALSE)&lt;&gt;P359,"INSERT INTO playerTPEHistory ( playerID, playerTPE, historyDate, historySeason, historyWeek, historyLeague ) VALUES ("&amp;K359&amp;", "&amp;F359&amp;", '"&amp;TEXT(NOW(),"yyyy-mm-dd")&amp;"', "&amp;$E$1&amp;", "&amp;$G$1&amp;", '"&amp;VLOOKUP(E359,Index!B:C,2,FALSE)&amp;" ' );",""),"")</f>
        <v/>
      </c>
    </row>
    <row r="360" spans="1:18" x14ac:dyDescent="0.25">
      <c r="I360" s="2">
        <f t="shared" si="5"/>
        <v>1</v>
      </c>
      <c r="K360">
        <v>9567</v>
      </c>
      <c r="L360" t="s">
        <v>785</v>
      </c>
      <c r="M360" t="s">
        <v>283</v>
      </c>
      <c r="N360">
        <v>10</v>
      </c>
      <c r="O360" t="s">
        <v>256</v>
      </c>
      <c r="P360">
        <v>50</v>
      </c>
      <c r="R360" t="str">
        <f ca="1">IFERROR(IF(VLOOKUP(K360,A:F,6,FALSE)&lt;&gt;P360,"INSERT INTO playerTPEHistory ( playerID, playerTPE, historyDate, historySeason, historyWeek, historyLeague ) VALUES ("&amp;K360&amp;", "&amp;F360&amp;", '"&amp;TEXT(NOW(),"yyyy-mm-dd")&amp;"', "&amp;$E$1&amp;", "&amp;$G$1&amp;", '"&amp;VLOOKUP(E360,Index!B:C,2,FALSE)&amp;" ' );",""),"")</f>
        <v/>
      </c>
    </row>
    <row r="361" spans="1:18" x14ac:dyDescent="0.25">
      <c r="I361" s="2">
        <f t="shared" si="5"/>
        <v>0</v>
      </c>
      <c r="K361">
        <v>12223</v>
      </c>
      <c r="L361" t="s">
        <v>625</v>
      </c>
      <c r="M361" t="s">
        <v>282</v>
      </c>
      <c r="N361">
        <v>15</v>
      </c>
      <c r="O361" t="s">
        <v>257</v>
      </c>
      <c r="P361">
        <v>50</v>
      </c>
      <c r="R361" t="str">
        <f ca="1">IFERROR(IF(VLOOKUP(K361,A:F,6,FALSE)&lt;&gt;P361,"INSERT INTO playerTPEHistory ( playerID, playerTPE, historyDate, historySeason, historyWeek, historyLeague ) VALUES ("&amp;K361&amp;", "&amp;F361&amp;", '"&amp;TEXT(NOW(),"yyyy-mm-dd")&amp;"', "&amp;$E$1&amp;", "&amp;$G$1&amp;", '"&amp;VLOOKUP(E361,Index!B:C,2,FALSE)&amp;" ' );",""),"")</f>
        <v/>
      </c>
    </row>
    <row r="362" spans="1:18" x14ac:dyDescent="0.25">
      <c r="I362" s="2">
        <f t="shared" si="5"/>
        <v>0</v>
      </c>
      <c r="K362">
        <v>12198</v>
      </c>
      <c r="L362" t="s">
        <v>743</v>
      </c>
      <c r="M362" t="s">
        <v>276</v>
      </c>
      <c r="N362">
        <v>15</v>
      </c>
      <c r="O362" t="s">
        <v>257</v>
      </c>
      <c r="P362">
        <v>50</v>
      </c>
      <c r="R362" t="str">
        <f ca="1">IFERROR(IF(VLOOKUP(K362,A:F,6,FALSE)&lt;&gt;P362,"INSERT INTO playerTPEHistory ( playerID, playerTPE, historyDate, historySeason, historyWeek, historyLeague ) VALUES ("&amp;K362&amp;", "&amp;F362&amp;", '"&amp;TEXT(NOW(),"yyyy-mm-dd")&amp;"', "&amp;$E$1&amp;", "&amp;$G$1&amp;", '"&amp;VLOOKUP(E362,Index!B:C,2,FALSE)&amp;" ' );",""),"")</f>
        <v/>
      </c>
    </row>
    <row r="363" spans="1:18" x14ac:dyDescent="0.25">
      <c r="I363" s="2">
        <f t="shared" si="5"/>
        <v>0</v>
      </c>
      <c r="K363">
        <v>12226</v>
      </c>
      <c r="L363" t="s">
        <v>767</v>
      </c>
      <c r="M363" t="s">
        <v>275</v>
      </c>
      <c r="N363">
        <v>15</v>
      </c>
      <c r="O363" t="s">
        <v>257</v>
      </c>
      <c r="P363">
        <v>50</v>
      </c>
      <c r="R363" t="str">
        <f ca="1">IFERROR(IF(VLOOKUP(K363,A:F,6,FALSE)&lt;&gt;P363,"INSERT INTO playerTPEHistory ( playerID, playerTPE, historyDate, historySeason, historyWeek, historyLeague ) VALUES ("&amp;K363&amp;", "&amp;F363&amp;", '"&amp;TEXT(NOW(),"yyyy-mm-dd")&amp;"', "&amp;$E$1&amp;", "&amp;$G$1&amp;", '"&amp;VLOOKUP(E363,Index!B:C,2,FALSE)&amp;" ' );",""),"")</f>
        <v/>
      </c>
    </row>
    <row r="364" spans="1:18" x14ac:dyDescent="0.25">
      <c r="I364" s="2">
        <f t="shared" si="5"/>
        <v>0</v>
      </c>
      <c r="K364">
        <v>12009</v>
      </c>
      <c r="L364" t="s">
        <v>633</v>
      </c>
      <c r="M364" t="s">
        <v>274</v>
      </c>
      <c r="N364">
        <v>15</v>
      </c>
      <c r="O364" t="s">
        <v>257</v>
      </c>
      <c r="P364">
        <v>50</v>
      </c>
      <c r="R364" t="str">
        <f ca="1">IFERROR(IF(VLOOKUP(K364,A:F,6,FALSE)&lt;&gt;P364,"INSERT INTO playerTPEHistory ( playerID, playerTPE, historyDate, historySeason, historyWeek, historyLeague ) VALUES ("&amp;K364&amp;", "&amp;F364&amp;", '"&amp;TEXT(NOW(),"yyyy-mm-dd")&amp;"', "&amp;$E$1&amp;", "&amp;$G$1&amp;", '"&amp;VLOOKUP(E364,Index!B:C,2,FALSE)&amp;" ' );",""),"")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Index</vt:lpstr>
      <vt:lpstr>Checker</vt:lpstr>
      <vt:lpstr>Updates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Watson</dc:creator>
  <cp:lastModifiedBy>Benjamin Watson</cp:lastModifiedBy>
  <dcterms:created xsi:type="dcterms:W3CDTF">2019-03-22T11:18:03Z</dcterms:created>
  <dcterms:modified xsi:type="dcterms:W3CDTF">2019-04-01T12:03:46Z</dcterms:modified>
</cp:coreProperties>
</file>