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675" yWindow="-15" windowWidth="12540" windowHeight="12390"/>
  </bookViews>
  <sheets>
    <sheet name="Checker" sheetId="1" r:id="rId1"/>
  </sheets>
  <functionGroups builtInGroupCount="17"/>
  <externalReferences>
    <externalReference r:id="rId2"/>
  </externalReferences>
  <definedNames>
    <definedName name="_xlnm._FilterDatabase" localSheetId="0" hidden="1">Checker!$B$1:$H$373</definedName>
  </definedNames>
  <calcPr calcId="144525"/>
</workbook>
</file>

<file path=xl/calcChain.xml><?xml version="1.0" encoding="utf-8"?>
<calcChain xmlns="http://schemas.openxmlformats.org/spreadsheetml/2006/main">
  <c r="C375" i="1" l="1"/>
  <c r="G375" i="1"/>
  <c r="E3" i="1"/>
  <c r="E7" i="1"/>
  <c r="E11" i="1"/>
  <c r="E15" i="1"/>
  <c r="E19" i="1"/>
  <c r="E23" i="1"/>
  <c r="E27" i="1"/>
  <c r="E31" i="1"/>
  <c r="E35" i="1"/>
  <c r="E39" i="1"/>
  <c r="E43" i="1"/>
  <c r="E47" i="1"/>
  <c r="E51" i="1"/>
  <c r="E55" i="1"/>
  <c r="E59" i="1"/>
  <c r="E63" i="1"/>
  <c r="E67" i="1"/>
  <c r="E71" i="1"/>
  <c r="E75" i="1"/>
  <c r="E79" i="1"/>
  <c r="E83" i="1"/>
  <c r="E87" i="1"/>
  <c r="E91" i="1"/>
  <c r="E95" i="1"/>
  <c r="E99" i="1"/>
  <c r="E103" i="1"/>
  <c r="E107" i="1"/>
  <c r="E111" i="1"/>
  <c r="E115" i="1"/>
  <c r="E119" i="1"/>
  <c r="E123" i="1"/>
  <c r="E127" i="1"/>
  <c r="E131" i="1"/>
  <c r="E135" i="1"/>
  <c r="E139" i="1"/>
  <c r="E143" i="1"/>
  <c r="E147" i="1"/>
  <c r="E151" i="1"/>
  <c r="E155" i="1"/>
  <c r="E159" i="1"/>
  <c r="E163" i="1"/>
  <c r="E167" i="1"/>
  <c r="E171" i="1"/>
  <c r="E175" i="1"/>
  <c r="E179" i="1"/>
  <c r="E183" i="1"/>
  <c r="E187" i="1"/>
  <c r="E191" i="1"/>
  <c r="E195" i="1"/>
  <c r="E199" i="1"/>
  <c r="E203" i="1"/>
  <c r="E207" i="1"/>
  <c r="E211" i="1"/>
  <c r="E215" i="1"/>
  <c r="E219" i="1"/>
  <c r="E223" i="1"/>
  <c r="E227" i="1"/>
  <c r="E231" i="1"/>
  <c r="E235" i="1"/>
  <c r="E239" i="1"/>
  <c r="E243" i="1"/>
  <c r="E247" i="1"/>
  <c r="E251" i="1"/>
  <c r="E255" i="1"/>
  <c r="E259" i="1"/>
  <c r="E263" i="1"/>
  <c r="E267" i="1"/>
  <c r="E271" i="1"/>
  <c r="E275" i="1"/>
  <c r="E279" i="1"/>
  <c r="E283" i="1"/>
  <c r="E287" i="1"/>
  <c r="E291" i="1"/>
  <c r="E295" i="1"/>
  <c r="E299" i="1"/>
  <c r="E303" i="1"/>
  <c r="E307" i="1"/>
  <c r="E311" i="1"/>
  <c r="E315" i="1"/>
  <c r="E319" i="1"/>
  <c r="E323" i="1"/>
  <c r="E327" i="1"/>
  <c r="E331" i="1"/>
  <c r="E335" i="1"/>
  <c r="E339" i="1"/>
  <c r="E343" i="1"/>
  <c r="E347" i="1"/>
  <c r="E351" i="1"/>
  <c r="E355" i="1"/>
  <c r="E359" i="1"/>
  <c r="E363" i="1"/>
  <c r="E367" i="1"/>
  <c r="E371" i="1"/>
  <c r="E374" i="1"/>
  <c r="E4" i="1"/>
  <c r="E8" i="1"/>
  <c r="E12" i="1"/>
  <c r="E16" i="1"/>
  <c r="E20" i="1"/>
  <c r="E24" i="1"/>
  <c r="E28" i="1"/>
  <c r="E32" i="1"/>
  <c r="E36" i="1"/>
  <c r="E40" i="1"/>
  <c r="E44" i="1"/>
  <c r="E48" i="1"/>
  <c r="E52" i="1"/>
  <c r="E56" i="1"/>
  <c r="E60" i="1"/>
  <c r="E64" i="1"/>
  <c r="E68" i="1"/>
  <c r="E72" i="1"/>
  <c r="E76" i="1"/>
  <c r="E80" i="1"/>
  <c r="E84" i="1"/>
  <c r="E88" i="1"/>
  <c r="E92" i="1"/>
  <c r="E96" i="1"/>
  <c r="E100" i="1"/>
  <c r="E104" i="1"/>
  <c r="E108" i="1"/>
  <c r="E112" i="1"/>
  <c r="E116" i="1"/>
  <c r="E120" i="1"/>
  <c r="E124" i="1"/>
  <c r="E128" i="1"/>
  <c r="E132" i="1"/>
  <c r="E136" i="1"/>
  <c r="E140" i="1"/>
  <c r="E144" i="1"/>
  <c r="E148" i="1"/>
  <c r="E152" i="1"/>
  <c r="E156" i="1"/>
  <c r="E160" i="1"/>
  <c r="E164" i="1"/>
  <c r="E168" i="1"/>
  <c r="E172" i="1"/>
  <c r="E176" i="1"/>
  <c r="E180" i="1"/>
  <c r="E184" i="1"/>
  <c r="E188" i="1"/>
  <c r="E192" i="1"/>
  <c r="E196" i="1"/>
  <c r="E200" i="1"/>
  <c r="E204" i="1"/>
  <c r="E208" i="1"/>
  <c r="E212" i="1"/>
  <c r="E216" i="1"/>
  <c r="E220" i="1"/>
  <c r="E224" i="1"/>
  <c r="E228" i="1"/>
  <c r="E232" i="1"/>
  <c r="E236" i="1"/>
  <c r="E240" i="1"/>
  <c r="E244" i="1"/>
  <c r="E248" i="1"/>
  <c r="E252" i="1"/>
  <c r="E256" i="1"/>
  <c r="E260" i="1"/>
  <c r="E264" i="1"/>
  <c r="E268" i="1"/>
  <c r="E272" i="1"/>
  <c r="E276" i="1"/>
  <c r="E280" i="1"/>
  <c r="E284" i="1"/>
  <c r="E288" i="1"/>
  <c r="E292" i="1"/>
  <c r="E296" i="1"/>
  <c r="E300" i="1"/>
  <c r="E304" i="1"/>
  <c r="E308" i="1"/>
  <c r="E312" i="1"/>
  <c r="E316" i="1"/>
  <c r="E320" i="1"/>
  <c r="E324" i="1"/>
  <c r="E328" i="1"/>
  <c r="E332" i="1"/>
  <c r="E336" i="1"/>
  <c r="E340" i="1"/>
  <c r="E344" i="1"/>
  <c r="E348" i="1"/>
  <c r="E352" i="1"/>
  <c r="E356" i="1"/>
  <c r="E360" i="1"/>
  <c r="E364" i="1"/>
  <c r="E368" i="1"/>
  <c r="E372" i="1"/>
  <c r="E369" i="1"/>
  <c r="E375" i="1"/>
  <c r="E5" i="1"/>
  <c r="E9" i="1"/>
  <c r="E13" i="1"/>
  <c r="E17" i="1"/>
  <c r="E21" i="1"/>
  <c r="E25" i="1"/>
  <c r="E29" i="1"/>
  <c r="E33" i="1"/>
  <c r="E37" i="1"/>
  <c r="E41" i="1"/>
  <c r="E45" i="1"/>
  <c r="E49" i="1"/>
  <c r="E53" i="1"/>
  <c r="E57" i="1"/>
  <c r="E61" i="1"/>
  <c r="E65" i="1"/>
  <c r="E69" i="1"/>
  <c r="E73" i="1"/>
  <c r="E77" i="1"/>
  <c r="E81" i="1"/>
  <c r="E85" i="1"/>
  <c r="E89" i="1"/>
  <c r="E93" i="1"/>
  <c r="E97" i="1"/>
  <c r="E101" i="1"/>
  <c r="E105" i="1"/>
  <c r="E109" i="1"/>
  <c r="E113" i="1"/>
  <c r="E117" i="1"/>
  <c r="E121" i="1"/>
  <c r="E125" i="1"/>
  <c r="E129" i="1"/>
  <c r="E133" i="1"/>
  <c r="E137" i="1"/>
  <c r="E141" i="1"/>
  <c r="E145" i="1"/>
  <c r="E149" i="1"/>
  <c r="E153" i="1"/>
  <c r="E157" i="1"/>
  <c r="E161" i="1"/>
  <c r="E165" i="1"/>
  <c r="E169" i="1"/>
  <c r="E173" i="1"/>
  <c r="E177" i="1"/>
  <c r="E181" i="1"/>
  <c r="E185" i="1"/>
  <c r="E189" i="1"/>
  <c r="E193" i="1"/>
  <c r="E197" i="1"/>
  <c r="E201" i="1"/>
  <c r="E205" i="1"/>
  <c r="E209" i="1"/>
  <c r="E213" i="1"/>
  <c r="E217" i="1"/>
  <c r="E221" i="1"/>
  <c r="E225" i="1"/>
  <c r="E229" i="1"/>
  <c r="E233" i="1"/>
  <c r="E237" i="1"/>
  <c r="E241" i="1"/>
  <c r="E245" i="1"/>
  <c r="E249" i="1"/>
  <c r="E253" i="1"/>
  <c r="E257" i="1"/>
  <c r="E261" i="1"/>
  <c r="E265" i="1"/>
  <c r="E269" i="1"/>
  <c r="E273" i="1"/>
  <c r="E277" i="1"/>
  <c r="E281" i="1"/>
  <c r="E285" i="1"/>
  <c r="E289" i="1"/>
  <c r="E293" i="1"/>
  <c r="E297" i="1"/>
  <c r="E301" i="1"/>
  <c r="E305" i="1"/>
  <c r="E309" i="1"/>
  <c r="E313" i="1"/>
  <c r="E317" i="1"/>
  <c r="E321" i="1"/>
  <c r="E325" i="1"/>
  <c r="E329" i="1"/>
  <c r="E333" i="1"/>
  <c r="E337" i="1"/>
  <c r="E341" i="1"/>
  <c r="E345" i="1"/>
  <c r="E349" i="1"/>
  <c r="E353" i="1"/>
  <c r="E357" i="1"/>
  <c r="E361" i="1"/>
  <c r="E365" i="1"/>
  <c r="E373" i="1"/>
  <c r="E6" i="1"/>
  <c r="E10" i="1"/>
  <c r="E14" i="1"/>
  <c r="E18" i="1"/>
  <c r="E22" i="1"/>
  <c r="E26" i="1"/>
  <c r="E30" i="1"/>
  <c r="E34" i="1"/>
  <c r="E38" i="1"/>
  <c r="E42" i="1"/>
  <c r="E46" i="1"/>
  <c r="E50" i="1"/>
  <c r="E54" i="1"/>
  <c r="E58" i="1"/>
  <c r="E62" i="1"/>
  <c r="E66" i="1"/>
  <c r="E70" i="1"/>
  <c r="E74" i="1"/>
  <c r="E78" i="1"/>
  <c r="E82" i="1"/>
  <c r="E86" i="1"/>
  <c r="E90" i="1"/>
  <c r="E94" i="1"/>
  <c r="E98" i="1"/>
  <c r="E102" i="1"/>
  <c r="E106" i="1"/>
  <c r="E110" i="1"/>
  <c r="E114" i="1"/>
  <c r="E118" i="1"/>
  <c r="E122" i="1"/>
  <c r="E126" i="1"/>
  <c r="E130" i="1"/>
  <c r="E134" i="1"/>
  <c r="E138" i="1"/>
  <c r="E142" i="1"/>
  <c r="E146" i="1"/>
  <c r="E150" i="1"/>
  <c r="E154" i="1"/>
  <c r="E158" i="1"/>
  <c r="E162" i="1"/>
  <c r="E166" i="1"/>
  <c r="E170" i="1"/>
  <c r="E174" i="1"/>
  <c r="E178" i="1"/>
  <c r="E182" i="1"/>
  <c r="E186" i="1"/>
  <c r="E190" i="1"/>
  <c r="E194" i="1"/>
  <c r="E198" i="1"/>
  <c r="E202" i="1"/>
  <c r="E206" i="1"/>
  <c r="E210" i="1"/>
  <c r="E214" i="1"/>
  <c r="E218" i="1"/>
  <c r="E222" i="1"/>
  <c r="E226" i="1"/>
  <c r="E230" i="1"/>
  <c r="E234" i="1"/>
  <c r="E238" i="1"/>
  <c r="E242" i="1"/>
  <c r="E246" i="1"/>
  <c r="E250" i="1"/>
  <c r="E254" i="1"/>
  <c r="E258" i="1"/>
  <c r="E262" i="1"/>
  <c r="E266" i="1"/>
  <c r="E270" i="1"/>
  <c r="E274" i="1"/>
  <c r="E278" i="1"/>
  <c r="E282" i="1"/>
  <c r="E286" i="1"/>
  <c r="E290" i="1"/>
  <c r="E294" i="1"/>
  <c r="E298" i="1"/>
  <c r="E302" i="1"/>
  <c r="E306" i="1"/>
  <c r="E310" i="1"/>
  <c r="E314" i="1"/>
  <c r="E318" i="1"/>
  <c r="E322" i="1"/>
  <c r="E326" i="1"/>
  <c r="E330" i="1"/>
  <c r="E334" i="1"/>
  <c r="E338" i="1"/>
  <c r="E342" i="1"/>
  <c r="E346" i="1"/>
  <c r="E350" i="1"/>
  <c r="E354" i="1"/>
  <c r="E358" i="1"/>
  <c r="E362" i="1"/>
  <c r="E366" i="1"/>
  <c r="E370" i="1"/>
  <c r="E2" i="1"/>
  <c r="B375" i="1"/>
  <c r="C374" i="1" l="1"/>
  <c r="G374" i="1"/>
  <c r="B374" i="1"/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C373" i="1"/>
  <c r="G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2" i="1"/>
  <c r="B3" i="1"/>
  <c r="B259" i="1"/>
  <c r="B160" i="1"/>
  <c r="B29" i="1"/>
  <c r="B285" i="1"/>
  <c r="B186" i="1"/>
  <c r="B81" i="1"/>
  <c r="B337" i="1"/>
  <c r="B23" i="1"/>
  <c r="B279" i="1"/>
  <c r="B180" i="1"/>
  <c r="B27" i="1"/>
  <c r="B283" i="1"/>
  <c r="B184" i="1"/>
  <c r="B53" i="1"/>
  <c r="B309" i="1"/>
  <c r="B47" i="1"/>
  <c r="B303" i="1"/>
  <c r="B204" i="1"/>
  <c r="B73" i="1"/>
  <c r="B329" i="1"/>
  <c r="B230" i="1"/>
  <c r="B306" i="1"/>
  <c r="B270" i="1"/>
  <c r="B176" i="1"/>
  <c r="B10" i="1"/>
  <c r="B161" i="1"/>
  <c r="B167" i="1"/>
  <c r="B324" i="1"/>
  <c r="B136" i="1"/>
  <c r="B325" i="1"/>
  <c r="B319" i="1"/>
  <c r="B147" i="1"/>
  <c r="B240" i="1"/>
  <c r="B301" i="1"/>
  <c r="B97" i="1"/>
  <c r="B190" i="1"/>
  <c r="B132" i="1"/>
  <c r="B171" i="1"/>
  <c r="B328" i="1"/>
  <c r="B34" i="1"/>
  <c r="B28" i="1"/>
  <c r="B35" i="1"/>
  <c r="B192" i="1"/>
  <c r="B317" i="1"/>
  <c r="B113" i="1"/>
  <c r="B55" i="1"/>
  <c r="B212" i="1"/>
  <c r="B315" i="1"/>
  <c r="B85" i="1"/>
  <c r="B79" i="1"/>
  <c r="B236" i="1"/>
  <c r="B233" i="1"/>
  <c r="B214" i="1"/>
  <c r="B286" i="1"/>
  <c r="B179" i="1"/>
  <c r="B336" i="1"/>
  <c r="B106" i="1"/>
  <c r="B257" i="1"/>
  <c r="B199" i="1"/>
  <c r="B356" i="1"/>
  <c r="B104" i="1"/>
  <c r="B229" i="1"/>
  <c r="B223" i="1"/>
  <c r="B353" i="1"/>
  <c r="B349" i="1"/>
  <c r="B326" i="1"/>
  <c r="B302" i="1"/>
  <c r="B125" i="1"/>
  <c r="B222" i="1"/>
  <c r="B123" i="1"/>
  <c r="B15" i="1"/>
  <c r="B281" i="1"/>
  <c r="B370" i="1"/>
  <c r="B13" i="1"/>
  <c r="B321" i="1"/>
  <c r="B11" i="1"/>
  <c r="B293" i="1"/>
  <c r="B121" i="1"/>
  <c r="B194" i="1"/>
  <c r="B128" i="1"/>
  <c r="B282" i="1"/>
  <c r="B148" i="1"/>
  <c r="B280" i="1"/>
  <c r="B271" i="1"/>
  <c r="B6" i="1"/>
  <c r="B334" i="1"/>
  <c r="B141" i="1"/>
  <c r="B94" i="1"/>
  <c r="B139" i="1"/>
  <c r="B66" i="1"/>
  <c r="B41" i="1"/>
  <c r="B278" i="1"/>
  <c r="B149" i="1"/>
  <c r="B182" i="1"/>
  <c r="B42" i="1"/>
  <c r="B135" i="1"/>
  <c r="B159" i="1"/>
  <c r="B242" i="1"/>
  <c r="B16" i="1"/>
  <c r="B296" i="1"/>
  <c r="B210" i="1"/>
  <c r="B187" i="1"/>
  <c r="B153" i="1"/>
  <c r="B208" i="1"/>
  <c r="B228" i="1"/>
  <c r="B252" i="1"/>
  <c r="B256" i="1"/>
  <c r="B105" i="1"/>
  <c r="B164" i="1"/>
  <c r="B227" i="1"/>
  <c r="B143" i="1"/>
  <c r="B193" i="1"/>
  <c r="B366" i="1"/>
  <c r="B67" i="1"/>
  <c r="B323" i="1"/>
  <c r="B224" i="1"/>
  <c r="B93" i="1"/>
  <c r="B357" i="1"/>
  <c r="B250" i="1"/>
  <c r="B145" i="1"/>
  <c r="B46" i="1"/>
  <c r="B87" i="1"/>
  <c r="B347" i="1"/>
  <c r="B244" i="1"/>
  <c r="B91" i="1"/>
  <c r="B355" i="1"/>
  <c r="B248" i="1"/>
  <c r="B117" i="1"/>
  <c r="B18" i="1"/>
  <c r="B111" i="1"/>
  <c r="B12" i="1"/>
  <c r="B268" i="1"/>
  <c r="B137" i="1"/>
  <c r="B38" i="1"/>
  <c r="B294" i="1"/>
  <c r="B254" i="1"/>
  <c r="B83" i="1"/>
  <c r="B304" i="1"/>
  <c r="B138" i="1"/>
  <c r="B289" i="1"/>
  <c r="B295" i="1"/>
  <c r="B107" i="1"/>
  <c r="B264" i="1"/>
  <c r="B98" i="1"/>
  <c r="B92" i="1"/>
  <c r="B211" i="1"/>
  <c r="B368" i="1"/>
  <c r="B74" i="1"/>
  <c r="B225" i="1"/>
  <c r="B103" i="1"/>
  <c r="B260" i="1"/>
  <c r="B299" i="1"/>
  <c r="B69" i="1"/>
  <c r="B162" i="1"/>
  <c r="B156" i="1"/>
  <c r="B163" i="1"/>
  <c r="B320" i="1"/>
  <c r="B90" i="1"/>
  <c r="B241" i="1"/>
  <c r="B183" i="1"/>
  <c r="B340" i="1"/>
  <c r="B88" i="1"/>
  <c r="B213" i="1"/>
  <c r="B207" i="1"/>
  <c r="B364" i="1"/>
  <c r="B313" i="1"/>
  <c r="B310" i="1"/>
  <c r="B258" i="1"/>
  <c r="B307" i="1"/>
  <c r="B77" i="1"/>
  <c r="B234" i="1"/>
  <c r="B30" i="1"/>
  <c r="B327" i="1"/>
  <c r="B75" i="1"/>
  <c r="B232" i="1"/>
  <c r="B373" i="1"/>
  <c r="B363" i="1"/>
  <c r="B89" i="1"/>
  <c r="B70" i="1"/>
  <c r="B206" i="1"/>
  <c r="B99" i="1"/>
  <c r="B26" i="1"/>
  <c r="B119" i="1"/>
  <c r="B24" i="1"/>
  <c r="B44" i="1"/>
  <c r="B86" i="1"/>
  <c r="B354" i="1"/>
  <c r="B269" i="1"/>
  <c r="B7" i="1"/>
  <c r="B267" i="1"/>
  <c r="B31" i="1"/>
  <c r="B297" i="1"/>
  <c r="B367" i="1"/>
  <c r="B361" i="1"/>
  <c r="B177" i="1"/>
  <c r="B17" i="1"/>
  <c r="B172" i="1"/>
  <c r="B115" i="1"/>
  <c r="B40" i="1"/>
  <c r="B217" i="1"/>
  <c r="B342" i="1"/>
  <c r="B36" i="1"/>
  <c r="B22" i="1"/>
  <c r="B142" i="1"/>
  <c r="B108" i="1"/>
  <c r="B51" i="1"/>
  <c r="B71" i="1"/>
  <c r="B95" i="1"/>
  <c r="B318" i="1"/>
  <c r="B277" i="1"/>
  <c r="B65" i="1"/>
  <c r="B343" i="1"/>
  <c r="B152" i="1"/>
  <c r="B272" i="1"/>
  <c r="B188" i="1"/>
  <c r="B131" i="1"/>
  <c r="B32" i="1"/>
  <c r="B288" i="1"/>
  <c r="B157" i="1"/>
  <c r="B58" i="1"/>
  <c r="B314" i="1"/>
  <c r="B209" i="1"/>
  <c r="B110" i="1"/>
  <c r="B151" i="1"/>
  <c r="B52" i="1"/>
  <c r="B308" i="1"/>
  <c r="B155" i="1"/>
  <c r="B56" i="1"/>
  <c r="B312" i="1"/>
  <c r="B181" i="1"/>
  <c r="B82" i="1"/>
  <c r="B175" i="1"/>
  <c r="B76" i="1"/>
  <c r="B332" i="1"/>
  <c r="B201" i="1"/>
  <c r="B102" i="1"/>
  <c r="B358" i="1"/>
  <c r="B359" i="1"/>
  <c r="B275" i="1"/>
  <c r="B45" i="1"/>
  <c r="B266" i="1"/>
  <c r="B126" i="1"/>
  <c r="B68" i="1"/>
  <c r="B235" i="1"/>
  <c r="B5" i="1"/>
  <c r="B63" i="1"/>
  <c r="B284" i="1"/>
  <c r="B339" i="1"/>
  <c r="B109" i="1"/>
  <c r="B202" i="1"/>
  <c r="B365" i="1"/>
  <c r="B231" i="1"/>
  <c r="B369" i="1"/>
  <c r="B72" i="1"/>
  <c r="B133" i="1"/>
  <c r="B127" i="1"/>
  <c r="B220" i="1"/>
  <c r="B291" i="1"/>
  <c r="B61" i="1"/>
  <c r="B218" i="1"/>
  <c r="B14" i="1"/>
  <c r="B311" i="1"/>
  <c r="B59" i="1"/>
  <c r="B216" i="1"/>
  <c r="B341" i="1"/>
  <c r="B335" i="1"/>
  <c r="B57" i="1"/>
  <c r="B54" i="1"/>
  <c r="B2" i="1"/>
  <c r="B226" i="1"/>
  <c r="B80" i="1"/>
  <c r="B205" i="1"/>
  <c r="B362" i="1"/>
  <c r="B158" i="1"/>
  <c r="B100" i="1"/>
  <c r="B203" i="1"/>
  <c r="B360" i="1"/>
  <c r="B130" i="1"/>
  <c r="B124" i="1"/>
  <c r="B169" i="1"/>
  <c r="B150" i="1"/>
  <c r="B338" i="1"/>
  <c r="B371" i="1"/>
  <c r="B49" i="1"/>
  <c r="B20" i="1"/>
  <c r="B21" i="1"/>
  <c r="B300" i="1"/>
  <c r="B262" i="1"/>
  <c r="B243" i="1"/>
  <c r="B170" i="1"/>
  <c r="B263" i="1"/>
  <c r="B168" i="1"/>
  <c r="B60" i="1"/>
  <c r="B118" i="1"/>
  <c r="B290" i="1"/>
  <c r="B253" i="1"/>
  <c r="B78" i="1"/>
  <c r="B251" i="1"/>
  <c r="B50" i="1"/>
  <c r="B25" i="1"/>
  <c r="B298" i="1"/>
  <c r="B287" i="1"/>
  <c r="B346" i="1"/>
  <c r="B114" i="1"/>
  <c r="B134" i="1"/>
  <c r="B333" i="1"/>
  <c r="B331" i="1"/>
  <c r="B249" i="1"/>
  <c r="B305" i="1"/>
  <c r="B178" i="1"/>
  <c r="B37" i="1"/>
  <c r="B154" i="1"/>
  <c r="B185" i="1"/>
  <c r="B292" i="1"/>
  <c r="B198" i="1"/>
  <c r="B195" i="1"/>
  <c r="B96" i="1"/>
  <c r="B352" i="1"/>
  <c r="B221" i="1"/>
  <c r="B122" i="1"/>
  <c r="B351" i="1"/>
  <c r="B273" i="1"/>
  <c r="B174" i="1"/>
  <c r="B215" i="1"/>
  <c r="B116" i="1"/>
  <c r="B372" i="1"/>
  <c r="B219" i="1"/>
  <c r="B120" i="1"/>
  <c r="B345" i="1"/>
  <c r="B245" i="1"/>
  <c r="B146" i="1"/>
  <c r="B239" i="1"/>
  <c r="B140" i="1"/>
  <c r="B9" i="1"/>
  <c r="B265" i="1"/>
  <c r="B166" i="1"/>
  <c r="B238" i="1"/>
  <c r="B322" i="1"/>
  <c r="B48" i="1"/>
  <c r="B173" i="1"/>
  <c r="B33" i="1"/>
  <c r="B39" i="1"/>
  <c r="B196" i="1"/>
  <c r="B8" i="1"/>
  <c r="B197" i="1"/>
  <c r="B191" i="1"/>
  <c r="B19" i="1"/>
  <c r="B112" i="1"/>
  <c r="B237" i="1"/>
  <c r="B330" i="1"/>
  <c r="B62" i="1"/>
  <c r="B4" i="1"/>
  <c r="B43" i="1"/>
  <c r="B200" i="1"/>
  <c r="B261" i="1"/>
  <c r="B255" i="1"/>
  <c r="B348" i="1"/>
  <c r="B64" i="1"/>
  <c r="B189" i="1"/>
  <c r="B84" i="1"/>
  <c r="B344" i="1"/>
  <c r="B274" i="1"/>
  <c r="B129" i="1"/>
  <c r="B101" i="1"/>
  <c r="B246" i="1"/>
  <c r="B276" i="1"/>
  <c r="B144" i="1"/>
  <c r="B316" i="1"/>
  <c r="B247" i="1"/>
  <c r="B350" i="1"/>
  <c r="B165" i="1"/>
  <c r="A165" i="1" l="1"/>
  <c r="A350" i="1"/>
  <c r="A247" i="1"/>
  <c r="A316" i="1"/>
  <c r="A144" i="1"/>
  <c r="A276" i="1"/>
  <c r="A246" i="1"/>
  <c r="A101" i="1"/>
  <c r="A129" i="1"/>
  <c r="A274" i="1"/>
  <c r="A344" i="1"/>
  <c r="A84" i="1"/>
  <c r="A189" i="1"/>
  <c r="A64" i="1"/>
  <c r="A348" i="1"/>
  <c r="A255" i="1"/>
  <c r="A261" i="1"/>
  <c r="A200" i="1"/>
  <c r="A43" i="1"/>
  <c r="A4" i="1"/>
  <c r="A62" i="1"/>
  <c r="A330" i="1"/>
  <c r="A237" i="1"/>
  <c r="A112" i="1"/>
  <c r="A19" i="1"/>
  <c r="A191" i="1"/>
  <c r="A197" i="1"/>
  <c r="A8" i="1"/>
  <c r="A196" i="1"/>
  <c r="A39" i="1"/>
  <c r="A33" i="1"/>
  <c r="A173" i="1"/>
  <c r="A48" i="1"/>
  <c r="A322" i="1"/>
  <c r="A238" i="1"/>
  <c r="A166" i="1"/>
  <c r="A265" i="1"/>
  <c r="A9" i="1"/>
  <c r="A140" i="1"/>
  <c r="A239" i="1"/>
  <c r="A146" i="1"/>
  <c r="A245" i="1"/>
  <c r="A345" i="1"/>
  <c r="A120" i="1"/>
  <c r="A219" i="1"/>
  <c r="A372" i="1"/>
  <c r="A116" i="1"/>
  <c r="A215" i="1"/>
  <c r="A174" i="1"/>
  <c r="A273" i="1"/>
  <c r="A351" i="1"/>
  <c r="A122" i="1"/>
  <c r="A221" i="1"/>
  <c r="A352" i="1"/>
  <c r="A96" i="1"/>
  <c r="A195" i="1"/>
  <c r="A198" i="1"/>
  <c r="A292" i="1"/>
  <c r="A185" i="1"/>
  <c r="A154" i="1"/>
  <c r="A37" i="1"/>
  <c r="A178" i="1"/>
  <c r="A305" i="1"/>
  <c r="A249" i="1"/>
  <c r="A331" i="1"/>
  <c r="A333" i="1"/>
  <c r="A134" i="1"/>
  <c r="A114" i="1"/>
  <c r="A346" i="1"/>
  <c r="A287" i="1"/>
  <c r="A298" i="1"/>
  <c r="A25" i="1"/>
  <c r="A50" i="1"/>
  <c r="A251" i="1"/>
  <c r="A78" i="1"/>
  <c r="A253" i="1"/>
  <c r="A290" i="1"/>
  <c r="A118" i="1"/>
  <c r="A60" i="1"/>
  <c r="A168" i="1"/>
  <c r="A263" i="1"/>
  <c r="A170" i="1"/>
  <c r="A243" i="1"/>
  <c r="A262" i="1"/>
  <c r="A300" i="1"/>
  <c r="A21" i="1"/>
  <c r="A20" i="1"/>
  <c r="A49" i="1"/>
  <c r="A371" i="1"/>
  <c r="A338" i="1"/>
  <c r="A150" i="1"/>
  <c r="A169" i="1"/>
  <c r="A124" i="1"/>
  <c r="A130" i="1"/>
  <c r="A360" i="1"/>
  <c r="A203" i="1"/>
  <c r="A100" i="1"/>
  <c r="A158" i="1"/>
  <c r="A362" i="1"/>
  <c r="A205" i="1"/>
  <c r="A80" i="1"/>
  <c r="A226" i="1"/>
  <c r="A2" i="1"/>
  <c r="A375" i="1"/>
  <c r="A374" i="1"/>
  <c r="A54" i="1"/>
  <c r="A57" i="1"/>
  <c r="A335" i="1"/>
  <c r="A341" i="1"/>
  <c r="A216" i="1"/>
  <c r="A59" i="1"/>
  <c r="A311" i="1"/>
  <c r="A14" i="1"/>
  <c r="A218" i="1"/>
  <c r="A61" i="1"/>
  <c r="A291" i="1"/>
  <c r="A220" i="1"/>
  <c r="A127" i="1"/>
  <c r="A133" i="1"/>
  <c r="A72" i="1"/>
  <c r="A369" i="1"/>
  <c r="A231" i="1"/>
  <c r="A365" i="1"/>
  <c r="A202" i="1"/>
  <c r="A109" i="1"/>
  <c r="A339" i="1"/>
  <c r="A284" i="1"/>
  <c r="A63" i="1"/>
  <c r="A5" i="1"/>
  <c r="A235" i="1"/>
  <c r="A68" i="1"/>
  <c r="A126" i="1"/>
  <c r="A266" i="1"/>
  <c r="A45" i="1"/>
  <c r="A275" i="1"/>
  <c r="A359" i="1"/>
  <c r="A358" i="1"/>
  <c r="A102" i="1"/>
  <c r="A201" i="1"/>
  <c r="A332" i="1"/>
  <c r="A76" i="1"/>
  <c r="A175" i="1"/>
  <c r="A82" i="1"/>
  <c r="A181" i="1"/>
  <c r="A312" i="1"/>
  <c r="A56" i="1"/>
  <c r="A155" i="1"/>
  <c r="A308" i="1"/>
  <c r="A52" i="1"/>
  <c r="A151" i="1"/>
  <c r="A110" i="1"/>
  <c r="A209" i="1"/>
  <c r="A314" i="1"/>
  <c r="A58" i="1"/>
  <c r="A157" i="1"/>
  <c r="A288" i="1"/>
  <c r="A32" i="1"/>
  <c r="A131" i="1"/>
  <c r="A188" i="1"/>
  <c r="A272" i="1"/>
  <c r="A152" i="1"/>
  <c r="A343" i="1"/>
  <c r="A65" i="1"/>
  <c r="A277" i="1"/>
  <c r="A318" i="1"/>
  <c r="A95" i="1"/>
  <c r="A71" i="1"/>
  <c r="A51" i="1"/>
  <c r="A108" i="1"/>
  <c r="A142" i="1"/>
  <c r="A22" i="1"/>
  <c r="A36" i="1"/>
  <c r="A342" i="1"/>
  <c r="A217" i="1"/>
  <c r="A40" i="1"/>
  <c r="A115" i="1"/>
  <c r="A172" i="1"/>
  <c r="A17" i="1"/>
  <c r="A177" i="1"/>
  <c r="A361" i="1"/>
  <c r="A367" i="1"/>
  <c r="A297" i="1"/>
  <c r="A31" i="1"/>
  <c r="A267" i="1"/>
  <c r="A7" i="1"/>
  <c r="A269" i="1"/>
  <c r="A354" i="1"/>
  <c r="A86" i="1"/>
  <c r="A44" i="1"/>
  <c r="A24" i="1"/>
  <c r="A119" i="1"/>
  <c r="A26" i="1"/>
  <c r="A99" i="1"/>
  <c r="A206" i="1"/>
  <c r="A70" i="1"/>
  <c r="A89" i="1"/>
  <c r="A363" i="1"/>
  <c r="A373" i="1"/>
  <c r="A232" i="1"/>
  <c r="A75" i="1"/>
  <c r="A327" i="1"/>
  <c r="A30" i="1"/>
  <c r="A234" i="1"/>
  <c r="A77" i="1"/>
  <c r="A307" i="1"/>
  <c r="A258" i="1"/>
  <c r="A310" i="1"/>
  <c r="A313" i="1"/>
  <c r="A364" i="1"/>
  <c r="A207" i="1"/>
  <c r="A213" i="1"/>
  <c r="A88" i="1"/>
  <c r="A340" i="1"/>
  <c r="A183" i="1"/>
  <c r="A241" i="1"/>
  <c r="A90" i="1"/>
  <c r="A320" i="1"/>
  <c r="A163" i="1"/>
  <c r="A156" i="1"/>
  <c r="A162" i="1"/>
  <c r="A69" i="1"/>
  <c r="A299" i="1"/>
  <c r="A260" i="1"/>
  <c r="A103" i="1"/>
  <c r="A225" i="1"/>
  <c r="A74" i="1"/>
  <c r="A368" i="1"/>
  <c r="A211" i="1"/>
  <c r="A92" i="1"/>
  <c r="A98" i="1"/>
  <c r="A264" i="1"/>
  <c r="A107" i="1"/>
  <c r="A295" i="1"/>
  <c r="A289" i="1"/>
  <c r="A138" i="1"/>
  <c r="A304" i="1"/>
  <c r="A83" i="1"/>
  <c r="A254" i="1"/>
  <c r="A294" i="1"/>
  <c r="A38" i="1"/>
  <c r="A137" i="1"/>
  <c r="A268" i="1"/>
  <c r="A12" i="1"/>
  <c r="A111" i="1"/>
  <c r="A18" i="1"/>
  <c r="A117" i="1"/>
  <c r="A248" i="1"/>
  <c r="A355" i="1"/>
  <c r="A91" i="1"/>
  <c r="A244" i="1"/>
  <c r="A347" i="1"/>
  <c r="A87" i="1"/>
  <c r="A46" i="1"/>
  <c r="A145" i="1"/>
  <c r="A250" i="1"/>
  <c r="A357" i="1"/>
  <c r="A93" i="1"/>
  <c r="A224" i="1"/>
  <c r="A323" i="1"/>
  <c r="A67" i="1"/>
  <c r="A366" i="1"/>
  <c r="A193" i="1"/>
  <c r="A143" i="1"/>
  <c r="A227" i="1"/>
  <c r="A164" i="1"/>
  <c r="A105" i="1"/>
  <c r="A256" i="1"/>
  <c r="A252" i="1"/>
  <c r="A228" i="1"/>
  <c r="A208" i="1"/>
  <c r="A153" i="1"/>
  <c r="A187" i="1"/>
  <c r="A210" i="1"/>
  <c r="A296" i="1"/>
  <c r="A16" i="1"/>
  <c r="A242" i="1"/>
  <c r="A159" i="1"/>
  <c r="A135" i="1"/>
  <c r="A42" i="1"/>
  <c r="A182" i="1"/>
  <c r="A149" i="1"/>
  <c r="A278" i="1"/>
  <c r="A41" i="1"/>
  <c r="A66" i="1"/>
  <c r="A139" i="1"/>
  <c r="A94" i="1"/>
  <c r="A141" i="1"/>
  <c r="A334" i="1"/>
  <c r="A6" i="1"/>
  <c r="A271" i="1"/>
  <c r="A280" i="1"/>
  <c r="A148" i="1"/>
  <c r="A282" i="1"/>
  <c r="A128" i="1"/>
  <c r="A194" i="1"/>
  <c r="A121" i="1"/>
  <c r="A293" i="1"/>
  <c r="A11" i="1"/>
  <c r="A321" i="1"/>
  <c r="A13" i="1"/>
  <c r="A370" i="1"/>
  <c r="A281" i="1"/>
  <c r="A15" i="1"/>
  <c r="A123" i="1"/>
  <c r="A222" i="1"/>
  <c r="A125" i="1"/>
  <c r="A302" i="1"/>
  <c r="A326" i="1"/>
  <c r="A349" i="1"/>
  <c r="A353" i="1"/>
  <c r="A223" i="1"/>
  <c r="A229" i="1"/>
  <c r="A104" i="1"/>
  <c r="A356" i="1"/>
  <c r="A199" i="1"/>
  <c r="A257" i="1"/>
  <c r="A106" i="1"/>
  <c r="A336" i="1"/>
  <c r="A179" i="1"/>
  <c r="A286" i="1"/>
  <c r="A214" i="1"/>
  <c r="A233" i="1"/>
  <c r="A236" i="1"/>
  <c r="A79" i="1"/>
  <c r="A85" i="1"/>
  <c r="A315" i="1"/>
  <c r="A212" i="1"/>
  <c r="A55" i="1"/>
  <c r="A113" i="1"/>
  <c r="A317" i="1"/>
  <c r="A192" i="1"/>
  <c r="A35" i="1"/>
  <c r="A28" i="1"/>
  <c r="A34" i="1"/>
  <c r="A328" i="1"/>
  <c r="A171" i="1"/>
  <c r="A132" i="1"/>
  <c r="A190" i="1"/>
  <c r="A97" i="1"/>
  <c r="A301" i="1"/>
  <c r="A240" i="1"/>
  <c r="A147" i="1"/>
  <c r="A319" i="1"/>
  <c r="A325" i="1"/>
  <c r="A136" i="1"/>
  <c r="A324" i="1"/>
  <c r="A167" i="1"/>
  <c r="A161" i="1"/>
  <c r="A10" i="1"/>
  <c r="A176" i="1"/>
  <c r="A270" i="1"/>
  <c r="A306" i="1"/>
  <c r="A230" i="1"/>
  <c r="A329" i="1"/>
  <c r="A73" i="1"/>
  <c r="A204" i="1"/>
  <c r="A303" i="1"/>
  <c r="A47" i="1"/>
  <c r="A309" i="1"/>
  <c r="A53" i="1"/>
  <c r="A184" i="1"/>
  <c r="A283" i="1"/>
  <c r="A27" i="1"/>
  <c r="A180" i="1"/>
  <c r="A279" i="1"/>
  <c r="A23" i="1"/>
  <c r="A337" i="1"/>
  <c r="A81" i="1"/>
  <c r="A186" i="1"/>
  <c r="A285" i="1"/>
  <c r="A29" i="1"/>
  <c r="A160" i="1"/>
  <c r="A259" i="1"/>
  <c r="A3" i="1"/>
</calcChain>
</file>

<file path=xl/sharedStrings.xml><?xml version="1.0" encoding="utf-8"?>
<sst xmlns="http://schemas.openxmlformats.org/spreadsheetml/2006/main" count="382" uniqueCount="382">
  <si>
    <t>(S15) - Matteo Maximin - CB,TPE: 50, http://nsfl.jcink.net/index.php?showtopic=12198,</t>
  </si>
  <si>
    <t>(S15) - Paul DiMirio III - K/P,TPE: 50, http://nsfl.jcink.net/index.php?showtopic=12009,</t>
  </si>
  <si>
    <t>(S15) - Ronald St. James III - RB,TPE: 50, http://nsfl.jcink.net/index.php?showtopic=12223,</t>
  </si>
  <si>
    <t>(S15) - Proy Tolamalu  - S,TPE: 50, http://nsfl.jcink.net/index.php?showtopic=12226,</t>
  </si>
  <si>
    <t>(S15) - Cameron Olsen - TE,TPE: 50, http://nsfl.jcink.net/index.php?showtopic=12328,</t>
  </si>
  <si>
    <t>(S15) - Jay Quick - RB,TPE: 50, http://nsfl.jcink.net/index.php?showtopic=12675,</t>
  </si>
  <si>
    <t>(S15) - Frasier Crane - DE,TPE: 50, http://nsfl.jcink.net/index.php?showtopic=12518,</t>
  </si>
  <si>
    <t>(S15) - Farley Hank - RB,TPE: 50, http://nsfl.jcink.net/index.php?showtopic=12348,</t>
  </si>
  <si>
    <t>(S15) - Mick Moekr - DE,TPE: 50, http://nsfl.jcink.net/index.php?showtopic=12311,</t>
  </si>
  <si>
    <t>(S15) - Terry Taffy - RB,TPE: 50, http://nsfl.jcink.net/index.php?showtopic=12232,</t>
  </si>
  <si>
    <t>(S15) - Ryan Leaf Jr - QB,TPE: 50, http://nsfl.jcink.net/index.php?showtopic=12221,</t>
  </si>
  <si>
    <t>(S15) - Andrew Solomon - CB,TPE: 50, http://nsfl.jcink.net/index.php?showtopic=12218,</t>
  </si>
  <si>
    <t>(S15) - Buddha Lebowski - LB,TPE: 50, http://nsfl.jcink.net/index.php?showtopic=12206,</t>
  </si>
  <si>
    <t>(S15) - Christopher Loren - CB,TPE: 50, http://nsfl.jcink.net/index.php?showtopic=12091,</t>
  </si>
  <si>
    <t>(S15) - Brayden Larosee - S,TPE: 50, http://nsfl.jcink.net/index.php?showtopic=11990,</t>
  </si>
  <si>
    <t>(S14) - Cody Kupp - S,TPE: 57, http://nsfl.jcink.net/index.php?showtopic=11768,</t>
  </si>
  <si>
    <t>(S14) - Cam Poole - S,TPE: 57, http://nsfl.jcink.net/index.php?showtopic=11742,</t>
  </si>
  <si>
    <t>(S14) - Rose Jenkins - QB,TPE: 203, http://nsfl.jcink.net/index.php?showtopic=11678,</t>
  </si>
  <si>
    <t>(S14) - Žak Korošec - K/P,TPE: 50, http://nsfl.jcink.net/index.php?showtopic=11604,</t>
  </si>
  <si>
    <t>(S14) - Alfredo &amp;quot;Thighmaster&amp;quot; Crisco - K/P,TPE: 125, http://nsfl.jcink.net/index.php?showtopic=11580,</t>
  </si>
  <si>
    <t>(GM) - McGriddle Luver - TE,TPE: 100, http://nsfl.jcink.net/index.php?showtopic=11545,</t>
  </si>
  <si>
    <t>(GM) - Mav Fatha - DE,TPE: 100, http://nsfl.jcink.net/index.php?showtopic=11543,</t>
  </si>
  <si>
    <t>(S13) - Rembrandt Khalil-Bugatti - DT,TPE: 63, http://nsfl.jcink.net/index.php?showtopic=11444,</t>
  </si>
  <si>
    <t>(S13) - J.N. Nova - WR,TPE: 108, http://nsfl.jcink.net/index.php?showtopic=11406,</t>
  </si>
  <si>
    <t>(S12) - Stayve Jerome Thomas - DE,TPE: 135, http://nsfl.jcink.net/index.php?showtopic=11032,</t>
  </si>
  <si>
    <t>(S12) - James Wade - RB,TPE: 57, http://nsfl.jcink.net/index.php?showtopic=10911,</t>
  </si>
  <si>
    <t>(S12) - Krispy Kreme - WR,TPE: 178, http://nsfl.jcink.net/index.php?showtopic=10792,</t>
  </si>
  <si>
    <t>(S12) - Luke Boechler - QB,TPE: 282, http://nsfl.jcink.net/index.php?showtopic=10523,</t>
  </si>
  <si>
    <t>(S12) - Derek Bohne - S,TPE: 187, http://nsfl.jcink.net/index.php?showtopic=10449,</t>
  </si>
  <si>
    <t>(S11) - Ace Boogie Jr. - CB,TPE: 62, http://nsfl.jcink.net/index.php?showtopic=10446,</t>
  </si>
  <si>
    <t>(S10) - Jake Verden - CB,TPE: 138, http://nsfl.jcink.net/index.php?showtopic=9637,</t>
  </si>
  <si>
    <t>(GM) - Richard Edwin Normous - DE,TPE: 50, http://nsfl.jcink.net/index.php?showtopic=12848,</t>
  </si>
  <si>
    <t>(GM) - Clears D'Way - TE,TPE: 50, http://nsfl.jcink.net/index.php?showtopic=12847,</t>
  </si>
  <si>
    <t>(S15) - Apollo Reed - RB,TPE: 50, http://nsfl.jcink.net/index.php?showtopic=12691,</t>
  </si>
  <si>
    <t>(S15) - Eric Lorentz - LB,TPE: 50, http://nsfl.jcink.net/index.php?showtopic=12604,</t>
  </si>
  <si>
    <t>(S15) - Cameron Clutch - K,TPE: 50, http://nsfl.jcink.net/index.php?showtopic=12561,</t>
  </si>
  <si>
    <t>(S15) - John Tebow - QB,TPE: 50, http://nsfl.jcink.net/index.php?showtopic=12526,</t>
  </si>
  <si>
    <t>(S15) - Jay Longshaw - QB,TPE: 50, http://nsfl.jcink.net/index.php?showtopic=12482,</t>
  </si>
  <si>
    <t>(S15) - Charles Mudley - WR,TPE: 50, http://nsfl.jcink.net/index.php?showtopic=12272,</t>
  </si>
  <si>
    <t>(S15) - Tobias Chase - CB,TPE: 50, http://nsfl.jcink.net/index.php?showtopic=12332,</t>
  </si>
  <si>
    <t>(S15) - D'Angelo Thompson - S,TPE: 50, http://nsfl.jcink.net/index.php?showtopic=12299,</t>
  </si>
  <si>
    <t>(S15) - Ahri Espeeyeeseetee - WR,TPE: 50, http://nsfl.jcink.net/index.php?showtopic=12296,</t>
  </si>
  <si>
    <t>(S15) - Lucas Knight - CB,TPE: 50, http://nsfl.jcink.net/index.php?showtopic=12290,</t>
  </si>
  <si>
    <t>(S15) - Dorfus Jimbo - RB,TPE: 50, http://nsfl.jcink.net/index.php?showtopic=12240,</t>
  </si>
  <si>
    <t>(S15) - Jack Rambo - S,TPE: 50, http://nsfl.jcink.net/index.php?showtopic=12143,</t>
  </si>
  <si>
    <t>(S15) - Logan Uchiha - S,TPE: 50, http://nsfl.jcink.net/index.php?showtopic=12188,</t>
  </si>
  <si>
    <t>(S15) - Poster Nutbag - DT,TPE: 50, http://nsfl.jcink.net/index.php?showtopic=12154,</t>
  </si>
  <si>
    <t>(S15) - Luke South - TE,TPE: 50, http://nsfl.jcink.net/index.php?showtopic=12153,</t>
  </si>
  <si>
    <t>(S15) - Giannis Kroustis - S,TPE: 50, http://nsfl.jcink.net/index.php?showtopic=12138,</t>
  </si>
  <si>
    <t>(S15) - Nick Snider - DT,TPE: 50, http://nsfl.jcink.net/index.php?showtopic=12107,</t>
  </si>
  <si>
    <t>(S15) - Ricardo Morris - DT,TPE: 50, http://nsfl.jcink.net/index.php?showtopic=12063,</t>
  </si>
  <si>
    <t>(S15) - Brock Landers - QB,TPE: 50, http://nsfl.jcink.net/index.php?showtopic=12087,</t>
  </si>
  <si>
    <t>(S15) - Marquees Acho - LB,TPE: 50, http://nsfl.jcink.net/index.php?showtopic=12086,</t>
  </si>
  <si>
    <t>(S15) - Allen Josh - LB,TPE: 133, http://nsfl.jcink.net/index.php?showtopic=11967,</t>
  </si>
  <si>
    <t>(S10) - Brock St. Winchester - LB,TPE: 50, http://nsfl.jcink.net/index.php?showtopic=9569,</t>
  </si>
  <si>
    <t>(S10) - Trey Westfield - WR,TPE: 50, http://nsfl.jcink.net/index.php?showtopic=9568,</t>
  </si>
  <si>
    <t>(S10) - Buzz Swaggerty - QB,TPE: 50, http://nsfl.jcink.net/index.php?showtopic=9567,</t>
  </si>
  <si>
    <t>(S15) - Deon Taylor - CB,TPE: 50, http://nsfl.jcink.net/index.php?showtopic=12676,</t>
  </si>
  <si>
    <t>(S15) - Michael Rood - TE,TPE: 50, http://nsfl.jcink.net/index.php?showtopic=12395,</t>
  </si>
  <si>
    <t>(S15) - Apollo Lange - QB,TPE: 50, http://nsfl.jcink.net/index.php?showtopic=12396,</t>
  </si>
  <si>
    <t>(S15) - Jameis Harrison - LB,TPE: 50, http://nsfl.jcink.net/index.php?showtopic=12417,</t>
  </si>
  <si>
    <t>(S15) - Rock Hardshaft - LB,TPE: 50, http://nsfl.jcink.net/index.php?showtopic=12318,</t>
  </si>
  <si>
    <t>(S15) - Quentin Sinclair - S,TPE: 50, http://nsfl.jcink.net/index.php?showtopic=12282,</t>
  </si>
  <si>
    <t>(S15) - Ludicolo Bigby - RB,TPE: 50, http://nsfl.jcink.net/index.php?showtopic=12281,</t>
  </si>
  <si>
    <t>(S15) - Khalil Sack - DE,TPE: 50, http://nsfl.jcink.net/index.php?showtopic=12275,</t>
  </si>
  <si>
    <t>(S15) - Thad Castle -  LB,TPE: 50, http://nsfl.jcink.net/index.php?showtopic=12257,</t>
  </si>
  <si>
    <t>(S15) - Ben Bortboy - RB,TPE: 50, http://nsfl.jcink.net/index.php?showtopic=12249,</t>
  </si>
  <si>
    <t>(S15) - Dan Wright - TE,TPE: 50, http://nsfl.jcink.net/index.php?showtopic=12224,</t>
  </si>
  <si>
    <t>(S15) - Fatih Terim - S,TPE: 50, http://nsfl.jcink.net/index.php?showtopic=12194,</t>
  </si>
  <si>
    <t>(S15) - Nacho Varga - WR,TPE: 50, http://nsfl.jcink.net/index.php?showtopic=12173,</t>
  </si>
  <si>
    <t>(S15) - Gimmy Jaroppolo - QB,TPE: 50, http://nsfl.jcink.net/index.php?showtopic=12140,</t>
  </si>
  <si>
    <t>(S15) - Guy Nikko - LB,TPE: 50, http://nsfl.jcink.net/index.php?showtopic=12163,</t>
  </si>
  <si>
    <t>(S15) - Tony Gabagool - LB,TPE: 50, http://nsfl.jcink.net/index.php?showtopic=12102,</t>
  </si>
  <si>
    <t>(S15) - Lamont McKinnie - S,TPE: 50, http://nsfl.jcink.net/index.php?showtopic=12095,</t>
  </si>
  <si>
    <t>(S15) - Rahm Kota - OL,TPE: 50, http://nsfl.jcink.net/index.php?showtopic=12083,</t>
  </si>
  <si>
    <t>(S15) - Chase Jensen - TE,TPE: 101, http://nsfl.jcink.net/index.php?showtopic=12017,</t>
  </si>
  <si>
    <t>(S15) - André Thornton - WR,TPE: 50, http://nsfl.jcink.net/index.php?showtopic=11988,</t>
  </si>
  <si>
    <t>(S15) - AJ Lattimer - DT,TPE: 50, http://nsfl.jcink.net/index.php?showtopic=12613,</t>
  </si>
  <si>
    <t>(S15) - Pablo Sanchez - LB,TPE: 50, http://nsfl.jcink.net/index.php?showtopic=12493,</t>
  </si>
  <si>
    <t>(S15) - Tyler Janes - RB,TPE: 50, http://nsfl.jcink.net/index.php?showtopic=12329,</t>
  </si>
  <si>
    <t>(S15) - Avery Thomas - S,TPE: 50, http://nsfl.jcink.net/index.php?showtopic=12378,</t>
  </si>
  <si>
    <t>(S15) - Lightsout Lewis - LB,TPE: 50, http://nsfl.jcink.net/index.php?showtopic=12326,</t>
  </si>
  <si>
    <t>(S15) - Dashwan Jackson - WR,TPE: 50, http://nsfl.jcink.net/index.php?showtopic=12322,</t>
  </si>
  <si>
    <t>(S15) - Lanzer Grievous - LB,TPE: 50, http://nsfl.jcink.net/index.php?showtopic=12292,</t>
  </si>
  <si>
    <t>(S15) - CrayCray Lewis - LB,TPE: 50, http://nsfl.jcink.net/index.php?showtopic=12288,</t>
  </si>
  <si>
    <t>(S15) - Xerxes Ridley - CB,TPE: 50, http://nsfl.jcink.net/index.php?showtopic=12268,</t>
  </si>
  <si>
    <t>(S15) - Gregor Clegaine - OL,TPE: 50, http://nsfl.jcink.net/index.php?showtopic=12204,</t>
  </si>
  <si>
    <t>(S15) - Taters Johnson - CB,TPE: 50, http://nsfl.jcink.net/index.php?showtopic=12180,</t>
  </si>
  <si>
    <t>(S15) - Alex Dasistwirklichseinnachname - K,TPE: 50, http://nsfl.jcink.net/index.php?showtopic=12178,</t>
  </si>
  <si>
    <t>(S15) - Justin Tyme - LB,TPE: 50, http://nsfl.jcink.net/index.php?showtopic=12168,</t>
  </si>
  <si>
    <t>(S15) - Franklin Armstrong - QB,TPE: 67, http://nsfl.jcink.net/index.php?showtopic=12031,</t>
  </si>
  <si>
    <t>(S15) - Richard D'Attoria V - S,TPE: 133, http://nsfl.jcink.net/index.php?showtopic=12024,</t>
  </si>
  <si>
    <t>(S15) - Emondov Emoji - CB,TPE: 102, http://nsfl.jcink.net/index.php?showtopic=11992,</t>
  </si>
  <si>
    <t>(S14) - Gekyume Stokeley - LB,TPE: 163, http://nsfl.jcink.net/index.php?showtopic=11926,</t>
  </si>
  <si>
    <t>(S14) - Adam Hardin - QB,TPE: 55, http://nsfl.jcink.net/index.php?showtopic=11755,</t>
  </si>
  <si>
    <t>(S14) - Ricky Enbalse - LB,TPE: 50, http://nsfl.jcink.net/index.php?showtopic=11738,</t>
  </si>
  <si>
    <t>(S14) - Stan Francisco - TE,TPE: 167, http://nsfl.jcink.net/index.php?showtopic=11721,</t>
  </si>
  <si>
    <t>(S14) - Leighton Lee - LB,TPE: 114, http://nsfl.jcink.net/index.php?showtopic=11684,</t>
  </si>
  <si>
    <t>(S14) - Stanley Marshall - CB,TPE: 50, http://nsfl.jcink.net/index.php?showtopic=11615,</t>
  </si>
  <si>
    <t>(S13) - Bona'beri Jones - WR,TPE: 166, http://nsfl.jcink.net/index.php?showtopic=11532,</t>
  </si>
  <si>
    <t>(S13) - Caleb McCoy - QB,TPE: 231, http://nsfl.jcink.net/index.php?showtopic=11072,</t>
  </si>
  <si>
    <t>(S12) - Roman Stakowski - TE,TPE: 227, http://nsfl.jcink.net/index.php?showtopic=10886,</t>
  </si>
  <si>
    <t>(S12) - Grayson Wayne - S,TPE: 50, http://nsfl.jcink.net/index.php?showtopic=10806,</t>
  </si>
  <si>
    <t>(S12) - Beauregard Smallwood-Chess - RB,TPE: 136, http://nsfl.jcink.net/index.php?showtopic=10741,</t>
  </si>
  <si>
    <t>(S12) - Roderick Castleberry - K/P,TPE: 95, http://nsfl.jcink.net/index.php?showtopic=10470,</t>
  </si>
  <si>
    <t>(FL) - Walter Blore - OL,TPE: 50, http://nsfl.jcink.net/index.php?showtopic=3213,</t>
  </si>
  <si>
    <t>(FL) - Marvin Dogan - OL,TPE: 50, http://nsfl.jcink.net/index.php?showtopic=3212,</t>
  </si>
  <si>
    <t>(FL) - Paul Underhill - OL,TPE: 50, http://nsfl.jcink.net/index.php?showtopic=3211,</t>
  </si>
  <si>
    <t>(FL) - Sable Runestad - OL,TPE: 50, http://nsfl.jcink.net/index.php?showtopic=3210,</t>
  </si>
  <si>
    <t>(FL) - Mathew Nector - OL,TPE: 50, http://nsfl.jcink.net/index.php?showtopic=3209,</t>
  </si>
  <si>
    <t>(S15) - David Le Kre - CB,TPE: 50, http://nsfl.jcink.net/index.php?showtopic=12606,</t>
  </si>
  <si>
    <t>(S15) - Lawalin Tae'orr - LB,TPE: 50, http://nsfl.jcink.net/index.php?showtopic=12381,</t>
  </si>
  <si>
    <t>(S15) - Nero Alexander - DE,TPE: 50, http://nsfl.jcink.net/index.php?showtopic=12364,</t>
  </si>
  <si>
    <t>(S15) - Franklin Cooper - S,TPE: 50, http://nsfl.jcink.net/index.php?showtopic=12363,</t>
  </si>
  <si>
    <t>(S15) - Walt Green - S,TPE: 50, http://nsfl.jcink.net/index.php?showtopic=12283,</t>
  </si>
  <si>
    <t>(S15) - Memphis Wilkerson - DE,TPE: 50, http://nsfl.jcink.net/index.php?showtopic=12276,</t>
  </si>
  <si>
    <t>(S15) - Max Vaz - RB,TPE: 50, http://nsfl.jcink.net/index.php?showtopic=12258,</t>
  </si>
  <si>
    <t>(S15) - Mister Big Chest - WR,TPE: 50, http://nsfl.jcink.net/index.php?showtopic=12252,</t>
  </si>
  <si>
    <t>(S15) - Robert Kleven - WR,TPE: 50, http://nsfl.jcink.net/index.php?showtopic=12228,</t>
  </si>
  <si>
    <t>(S15) - Morgan Marshall - RB,TPE: 50, http://nsfl.jcink.net/index.php?showtopic=12191,</t>
  </si>
  <si>
    <t>(S15) - Timmy Hoss - TE,TPE: 50, http://nsfl.jcink.net/index.php?showtopic=12186,</t>
  </si>
  <si>
    <t>(S15) - Bruce Waynner - DT,TPE: 50, http://nsfl.jcink.net/index.php?showtopic=12164,</t>
  </si>
  <si>
    <t>(S15) - Neon Demon - CB,TPE: 50, http://nsfl.jcink.net/index.php?showtopic=12144,</t>
  </si>
  <si>
    <t>(S15) - Quenton Bode - LB,TPE: 50, http://nsfl.jcink.net/index.php?showtopic=12109,</t>
  </si>
  <si>
    <t>(S15) - Mo Berry - LB,TPE: 50, http://nsfl.jcink.net/index.php?showtopic=12113,</t>
  </si>
  <si>
    <t>(S15) - Shaquill &amp;quot;The Thrill&amp;quot; Williams VII - S,TPE: 64, http://nsfl.jcink.net/index.php?showtopic=12034,</t>
  </si>
  <si>
    <t>(S14) - Buchanan Simons - CB,TPE: 50, http://nsfl.jcink.net/index.php?showtopic=11947,</t>
  </si>
  <si>
    <t>(S14) - Thad Castle - LB,TPE: 55, http://nsfl.jcink.net/index.php?showtopic=11775,</t>
  </si>
  <si>
    <t>(S14) - James Andrews - DE,TPE: 50, http://nsfl.jcink.net/index.php?showtopic=11764,</t>
  </si>
  <si>
    <t>(S14) - Drew Maddox - WR,TPE: 79, http://nsfl.jcink.net/index.php?showtopic=11747,</t>
  </si>
  <si>
    <t>(S14) - Joseph Henry - DE,TPE: 158, http://nsfl.jcink.net/index.php?showtopic=11706,</t>
  </si>
  <si>
    <t>(S14) - Cooter Bigsby - QB,TPE: 314, http://nsfl.jcink.net/index.php?showtopic=11587,</t>
  </si>
  <si>
    <t>(S13) - Vander Jones - CB,TPE: 219, http://nsfl.jcink.net/index.php?showtopic=11499,</t>
  </si>
  <si>
    <t>(GM) - James Hickok - LB,TPE: 100, http://nsfl.jcink.net/index.php?showtopic=11467,</t>
  </si>
  <si>
    <t>(GM) - Bass Reeves - S,TPE: 100, http://nsfl.jcink.net/index.php?showtopic=11466,</t>
  </si>
  <si>
    <t>(S13) - Eric McStrong - DE,TPE: 50, http://nsfl.jcink.net/index.php?showtopic=11044,</t>
  </si>
  <si>
    <t>(S12) - Jon Gott - LB,TPE: 148, http://nsfl.jcink.net/index.php?showtopic=10973,</t>
  </si>
  <si>
    <t>(S11) - Spencer Lawes - K/P,TPE: 110, http://nsfl.jcink.net/index.php?showtopic=10390,</t>
  </si>
  <si>
    <t>(S11) - Clark Kent - LB,TPE: 81, http://nsfl.jcink.net/index.php?showtopic=10046,</t>
  </si>
  <si>
    <t>(S15) - Rod Tidwell - WR,TPE: 50, http://nsfl.jcink.net/index.php?showtopic=12700,</t>
  </si>
  <si>
    <t>(S15) - Luca Ramero - WR,TPE: 50, http://nsfl.jcink.net/index.php?showtopic=12688,</t>
  </si>
  <si>
    <t>(S15) - TJ Hendrix - QB,TPE: 50, http://nsfl.jcink.net/index.php?showtopic=12535,</t>
  </si>
  <si>
    <t>(S15) - Edmond Beaver-Dantes - OL,TPE: 50, http://nsfl.jcink.net/index.php?showtopic=12532,</t>
  </si>
  <si>
    <t>(S15) - Groovy Johnson - CB,TPE: 50, http://nsfl.jcink.net/index.php?showtopic=12367,</t>
  </si>
  <si>
    <t>(S15) - Jammerson Irving - TE,TPE: 50, http://nsfl.jcink.net/index.php?showtopic=12384,</t>
  </si>
  <si>
    <t>(S15) - Brave Ulysses - OL,TPE: 109, http://nsfl.jcink.net/index.php?showtopic=12413,</t>
  </si>
  <si>
    <t>(S15) - Carlomagno Rey - WR,TPE: 50, http://nsfl.jcink.net/index.php?showtopic=12371,</t>
  </si>
  <si>
    <t>(S15) - Trey Moffat - RB,TPE: 50, http://nsfl.jcink.net/index.php?showtopic=12127,</t>
  </si>
  <si>
    <t>(S15) - Jacob Rowan - OL,TPE: 50, http://nsfl.jcink.net/index.php?showtopic=12170,</t>
  </si>
  <si>
    <t>(S15) - Forrest Gump - RB,TPE: 50, http://nsfl.jcink.net/index.php?showtopic=12260,</t>
  </si>
  <si>
    <t>(S15) - Momodou Jallow - S,TPE: 50, http://nsfl.jcink.net/index.php?showtopic=12255,</t>
  </si>
  <si>
    <t>(S15) - Bill Inohi - DT,TPE: 50, http://nsfl.jcink.net/index.php?showtopic=12196,</t>
  </si>
  <si>
    <t>(S15) - Martavius Mack - S,TPE: 50, http://nsfl.jcink.net/index.php?showtopic=12175,</t>
  </si>
  <si>
    <t>(S15) - Troy Humuhumunukunukuāpuaʻa - S,TPE: 50, http://nsfl.jcink.net/index.php?showtopic=12165,</t>
  </si>
  <si>
    <t>(S15) - Lo Mein - DE,TPE: 50, http://nsfl.jcink.net/index.php?showtopic=12061,</t>
  </si>
  <si>
    <t>(S15) - Troy Bryant - CB,TPE: 57, http://nsfl.jcink.net/index.php?showtopic=12022,</t>
  </si>
  <si>
    <t>(S15) - Johnny Slothface - LB,TPE: 155, http://nsfl.jcink.net/index.php?showtopic=12011,</t>
  </si>
  <si>
    <t>(S15) - JoJo Burr-Kirven - LB,TPE: 50, http://nsfl.jcink.net/index.php?showtopic=11980,</t>
  </si>
  <si>
    <t>(S14) - Dingus Hunk - DT,TPE: 82, http://nsfl.jcink.net/index.php?showtopic=11785,</t>
  </si>
  <si>
    <t>(S14) - Brett Tacony - WR,TPE: 57, http://nsfl.jcink.net/index.php?showtopic=11735,</t>
  </si>
  <si>
    <t>(S14) - Stephen Harris Jr - K/P,TPE: 131, http://nsfl.jcink.net/index.php?showtopic=11652,</t>
  </si>
  <si>
    <t>(S14) - Corvo Havran - QB,TPE: 267, http://nsfl.jcink.net/index.php?showtopic=11597,</t>
  </si>
  <si>
    <t>(S13) - Kyle Frost - K/P,TPE: 74, http://nsfl.jcink.net/index.php?showtopic=11500,</t>
  </si>
  <si>
    <t>(S13) - Dick Cheese Jr. - LB,TPE: 99, http://nsfl.jcink.net/index.php?showtopic=11150,</t>
  </si>
  <si>
    <t>(S12) - CJ Henderson - CB,TPE: 81, http://nsfl.jcink.net/index.php?showtopic=10787,</t>
  </si>
  <si>
    <t>(S12) - Daniel Amon - QB,TPE: 61, http://nsfl.jcink.net/index.php?showtopic=10632,</t>
  </si>
  <si>
    <t>(S12) - Thomas Nova - WR,TPE: 50, http://nsfl.jcink.net/index.php?showtopic=10617,</t>
  </si>
  <si>
    <t>(S12) - Thomas Clark - DT,TPE: 125, http://nsfl.jcink.net/index.php?showtopic=10454,</t>
  </si>
  <si>
    <t>(S11) - Zoro Roronoa - RB,TPE: 168, http://nsfl.jcink.net/index.php?showtopic=10182,</t>
  </si>
  <si>
    <t>(S11) - Berrell Trister - WR,TPE: 67, http://nsfl.jcink.net/index.php?showtopic=10072,</t>
  </si>
  <si>
    <t>(S10) - Lanoi Arnold - DT,TPE: 50, http://nsfl.jcink.net/index.php?showtopic=9730,</t>
  </si>
  <si>
    <t>(S10) - Tanner Hendrix - WR,TPE: 90, http://nsfl.jcink.net/index.php?showtopic=9325,</t>
  </si>
  <si>
    <t>(S10) - Con Nair - CB,TPE: 50, http://nsfl.jcink.net/index.php?showtopic=9228,</t>
  </si>
  <si>
    <t>(S14) - Ma Goomba - OL,TPE: 57, http://nsfl.jcink.net/index.php?showtopic=11739,</t>
  </si>
  <si>
    <t>(S13) - Jaren Haden - LB,TPE: 69, http://nsfl.jcink.net/index.php?showtopic=11074,</t>
  </si>
  <si>
    <t>(S13) - Jordan McCann - DT,TPE: 52, http://nsfl.jcink.net/index.php?showtopic=11043,</t>
  </si>
  <si>
    <t>(S12) - Raymond Vans - LB,TPE: 406, http://nsfl.jcink.net/index.php?showtopic=11030,</t>
  </si>
  <si>
    <t>(S12) - Hike Mughes - CB,TPE: 313, http://nsfl.jcink.net/index.php?showtopic=10917,</t>
  </si>
  <si>
    <t>(S12) - Cole Walker - DE,TPE: 99, http://nsfl.jcink.net/index.php?showtopic=10765,</t>
  </si>
  <si>
    <t>(S12) - Jeffery Murphy - CB,TPE: 240, http://nsfl.jcink.net/index.php?showtopic=10668,</t>
  </si>
  <si>
    <t>(S12) - Sam Hardwick - WR,TPE: 396, http://nsfl.jcink.net/index.php?showtopic=10466,</t>
  </si>
  <si>
    <t>(S11) - Slim Shady - RB,TPE: 390, http://nsfl.jcink.net/index.php?showtopic=10234,</t>
  </si>
  <si>
    <t>(S11) - Harvey Kindle - WR,TPE: 172, http://nsfl.jcink.net/index.php?showtopic=10118,</t>
  </si>
  <si>
    <t>(S11) - Steven Moore - TE,TPE: 316, http://nsfl.jcink.net/index.php?showtopic=10062,</t>
  </si>
  <si>
    <t>(S11) - Andrew Reese - QB,TPE: 741, http://nsfl.jcink.net/index.php?showtopic=9986,</t>
  </si>
  <si>
    <t>(S10) - A.J. Robertson - LB,TPE: 249, http://nsfl.jcink.net/index.php?showtopic=9815,</t>
  </si>
  <si>
    <t>(S10) - Emilia Rudd - TE,TPE: 153, http://nsfl.jcink.net/index.php?showtopic=9469,</t>
  </si>
  <si>
    <t>(S10) - Avery Woodham - DE,TPE: 182, http://nsfl.jcink.net/index.php?showtopic=9416,</t>
  </si>
  <si>
    <t>(S10) - Shannon Hobbs - S,TPE: 334, http://nsfl.jcink.net/index.php?showtopic=9349,</t>
  </si>
  <si>
    <t>(S10) - Felix Hasselhoff - WR,TPE: 338, http://nsfl.jcink.net/index.php?showtopic=9243,</t>
  </si>
  <si>
    <t>(S9) - John Springfield - S,TPE: 57, http://nsfl.jcink.net/index.php?showtopic=9117,</t>
  </si>
  <si>
    <t>(S9) - Tyler Griffin - LB,TPE: 86, http://nsfl.jcink.net/index.php?showtopic=8796,</t>
  </si>
  <si>
    <t>(S9) - Jai Turner - WR,TPE: 76, http://nsfl.jcink.net/index.php?showtopic=8627,</t>
  </si>
  <si>
    <t>(S8) - Hammer Jack - CB,TPE: 73, http://nsfl.jcink.net/index.php?showtopic=8209,</t>
  </si>
  <si>
    <t>(S8) - Fonz Nuno - DE,TPE: 67, http://nsfl.jcink.net/index.php?showtopic=8230,</t>
  </si>
  <si>
    <t>(S6) - Borro Gore - RB,TPE: 150, http://nsfl.jcink.net/index.php?showtopic=6978,</t>
  </si>
  <si>
    <t>(S6) - Norman Bagwell - DE,TPE: 201, http://nsfl.jcink.net/index.php?showtopic=6214,</t>
  </si>
  <si>
    <t>(S5) - Dean Jackson - K/P,TPE: 686, http://nsfl.jcink.net/index.php?showtopic=5481,</t>
  </si>
  <si>
    <t>(S3) - Trey Willie - WR,TPE: 243, http://nsfl.jcink.net/index.php?showtopic=2894,</t>
  </si>
  <si>
    <t>(S13) - Corey Trevor - RB,TPE: 190, http://nsfl.jcink.net/index.php?showtopic=11114,</t>
  </si>
  <si>
    <t>(S13) - Alex Frost - K/P,TPE: 141, http://nsfl.jcink.net/index.php?showtopic=11163,</t>
  </si>
  <si>
    <t>(S12) - Arbin Asipi III - CB,TPE: 491, http://nsfl.jcink.net/index.php?showtopic=10598,</t>
  </si>
  <si>
    <t>(S12) - Charlie Trout - LB,TPE: 495, http://nsfl.jcink.net/index.php?showtopic=10629,</t>
  </si>
  <si>
    <t>(S12) - Errol Maddox - WR,TPE: 649, http://nsfl.jcink.net/index.php?showtopic=10480,</t>
  </si>
  <si>
    <t>(S11) - Yulic Nagasawa - WR,TPE: 500, http://nsfl.jcink.net/index.php?showtopic=10024,</t>
  </si>
  <si>
    <t>(S11) - Kwame Abayomi Mbanefo - DE,TPE: 681, http://nsfl.jcink.net/index.php?showtopic=9838,</t>
  </si>
  <si>
    <t>(S10) - Steven Oats - S,TPE: 395, http://nsfl.jcink.net/index.php?showtopic=9412,</t>
  </si>
  <si>
    <t>(S10) - Achilles Hondo - CB,TPE: 685, http://nsfl.jcink.net/index.php?showtopic=9347,</t>
  </si>
  <si>
    <t>(S9) - Marquise Brown - RB,TPE: 930, http://nsfl.jcink.net/index.php?showtopic=8834,</t>
  </si>
  <si>
    <t>(S9) - Vinny Valentine - WR,TPE: 978, http://nsfl.jcink.net/index.php?showtopic=8751,</t>
  </si>
  <si>
    <t>(S9) - Declan Harp - TE,TPE: 740, http://nsfl.jcink.net/index.php?showtopic=8580,</t>
  </si>
  <si>
    <t>(S8) - Ben Horne - LB,TPE: 980, http://nsfl.jcink.net/index.php?showtopic=8172,</t>
  </si>
  <si>
    <t>(S8) - Childish Gambino - QB,TPE: 1004, http://nsfl.jcink.net/index.php?showtopic=7976,</t>
  </si>
  <si>
    <t>(S7) - Verso L'Alto - TE,TPE: 1169, http://nsfl.jcink.net/index.php?showtopic=7710,</t>
  </si>
  <si>
    <t>(S6) - Austin Roenick - LB,TPE: 802, http://nsfl.jcink.net/index.php?showtopic=6510,</t>
  </si>
  <si>
    <t>(S5) - Gregory Fletcher - CB,TPE: 229, http://nsfl.jcink.net/index.php?showtopic=5358,</t>
  </si>
  <si>
    <t>(S5) - Andre Bly Jr. - CB,TPE: 410, http://nsfl.jcink.net/index.php?showtopic=5130,</t>
  </si>
  <si>
    <t>(S4) - Blackford Oakes - S,TPE: 517, http://nsfl.jcink.net/index.php?showtopic=4964,</t>
  </si>
  <si>
    <t>(S12) - Joey Sachs - DE,TPE: 162, http://nsfl.jcink.net/index.php?showtopic=10967,</t>
  </si>
  <si>
    <t>(S12) - Soupy McBrain - LB,TPE: 155, http://nsfl.jcink.net/index.php?showtopic=10834,</t>
  </si>
  <si>
    <t>(S12) - Jonathan Towers - S,TPE: 182, http://nsfl.jcink.net/index.php?showtopic=10712,</t>
  </si>
  <si>
    <t>(S12) - Axel Hornbacher - CB,TPE: 551, http://nsfl.jcink.net/index.php?showtopic=10708,</t>
  </si>
  <si>
    <t>(S12) - Beau Montgomery - CB,TPE: 419, http://nsfl.jcink.net/index.php?showtopic=10657,</t>
  </si>
  <si>
    <t>(S12) - Logan Lejune - LB,TPE: 485, http://nsfl.jcink.net/index.php?showtopic=10573,</t>
  </si>
  <si>
    <t>(S12) - Sam Garrad - DT,TPE: 249, http://nsfl.jcink.net/index.php?showtopic=10550,</t>
  </si>
  <si>
    <t>(S12) - James Bishop - WR,TPE: 666, http://nsfl.jcink.net/index.php?showtopic=10524,</t>
  </si>
  <si>
    <t>(S10) - Devo Cansino - RB,TPE: 323, http://nsfl.jcink.net/index.php?showtopic=9786,</t>
  </si>
  <si>
    <t>(S10) - Odell Marrett - DE,TPE: 97, http://nsfl.jcink.net/index.php?showtopic=9401,</t>
  </si>
  <si>
    <t>(S9) - Oskar Ludvig - CB,TPE: 130, http://nsfl.jcink.net/index.php?showtopic=9037,</t>
  </si>
  <si>
    <t>(S9) - ShaDarrien LaMelllana - WR,TPE: 259, http://nsfl.jcink.net/index.php?showtopic=8653,</t>
  </si>
  <si>
    <t>(S8) - Omar Wrong- DT,TPE: 146, http://nsfl.jcink.net/index.php?showtopic=8396,</t>
  </si>
  <si>
    <t>(S7) - Mark Grau - RB,TPE: 339, http://nsfl.jcink.net/index.php?showtopic=7561,</t>
  </si>
  <si>
    <t>(S7) - Alvin Chipmunk - TE,TPE: 161, http://nsfl.jcink.net/index.php?showtopic=7263,</t>
  </si>
  <si>
    <t>(S7) - Howard Miller - WR,TPE: 984, http://nsfl.jcink.net/index.php?showtopic=7221,</t>
  </si>
  <si>
    <t>(S6) - Brian Mills - LB,TPE: 579, http://nsfl.jcink.net/index.php?showtopic=6405,</t>
  </si>
  <si>
    <t>(S6) - Micycle McCormick - QB,TPE: 916, http://nsfl.jcink.net/index.php?showtopic=6395,</t>
  </si>
  <si>
    <t>(S5) - Michael Tillman - S,TPE: 238, http://nsfl.jcink.net/index.php?showtopic=5621,</t>
  </si>
  <si>
    <t>(S4) - Haruki Ishigawa - DE,TPE: 224, http://nsfl.jcink.net/index.php?showtopic=4656,</t>
  </si>
  <si>
    <t>(S13) - Harvey Danger - TE,TPE: 67, http://nsfl.jcink.net/index.php?showtopic=11075,</t>
  </si>
  <si>
    <t>(S12) - Shane Trigg - DT,TPE: 50, http://nsfl.jcink.net/index.php?showtopic=10984,</t>
  </si>
  <si>
    <t>(S11) - Kick Puncher - (K/P),TPE: 76, http://nsfl.jcink.net/index.php?showtopic=9857,</t>
  </si>
  <si>
    <t>(S11) - Blake Bishop - QB,TPE: 50, http://nsfl.jcink.net/index.php?showtopic=9836,</t>
  </si>
  <si>
    <t>(S10) - Augustin LaDande - WR,TPE: 50, http://nsfl.jcink.net/index.php?showtopic=9738,</t>
  </si>
  <si>
    <t>(S10) - Ray Slick - LB,TPE: 57, http://nsfl.jcink.net/index.php?showtopic=9726,</t>
  </si>
  <si>
    <t>(S10) - Adam Krossman - RB,TPE: 76, http://nsfl.jcink.net/index.php?showtopic=9540,</t>
  </si>
  <si>
    <t>(S10) - Ricky Flores - RB,TPE: 90, http://nsfl.jcink.net/index.php?showtopic=9504,</t>
  </si>
  <si>
    <t>(S10) - Zenyou Wozy - QB,TPE: 358, http://nsfl.jcink.net/index.php?showtopic=9364,</t>
  </si>
  <si>
    <t>(S10) - Taylor Peterson - WR,TPE: 108, http://nsfl.jcink.net/index.php?showtopic=9321,</t>
  </si>
  <si>
    <t>(S9) - Deion Jackson - WR,TPE: 57, http://nsfl.jcink.net/index.php?showtopic=9132,</t>
  </si>
  <si>
    <t>(S9) - Fin Jameson - LB,TPE: 57, http://nsfl.jcink.net/index.php?showtopic=9110,</t>
  </si>
  <si>
    <t>(S9) - Andreas Metaxas - QB,TPE: 381, http://nsfl.jcink.net/index.php?showtopic=9076,</t>
  </si>
  <si>
    <t>(S9) - Robert Jordan - LB,TPE: 60, http://nsfl.jcink.net/index.php?showtopic=8859,</t>
  </si>
  <si>
    <t>(S9) - LaMarcus Strike - RB,TPE: 169, http://nsfl.jcink.net/index.php?showtopic=8857,</t>
  </si>
  <si>
    <t>(S9) - Alsan Arshad - WR,TPE: 71, http://nsfl.jcink.net/index.php?showtopic=8693,</t>
  </si>
  <si>
    <t>(S9) - Emilio Ramero - K/P,TPE: 116, http://nsfl.jcink.net/index.php?showtopic=8634,</t>
  </si>
  <si>
    <t>(S9) - Daquan Richardson - CB,TPE: 77, http://nsfl.jcink.net/index.php?showtopic=8626,</t>
  </si>
  <si>
    <t>(S9) - Deangelo Warren - WR,TPE: 50, http://nsfl.jcink.net/index.php?showtopic=8613,</t>
  </si>
  <si>
    <t>(S8) - Klaus DerFisch - K/P,TPE: 54, http://nsfl.jcink.net/index.php?showtopic=8344,</t>
  </si>
  <si>
    <t>(S8) - Vance Sachs - DE,TPE: 81, http://nsfl.jcink.net/index.php?showtopic=8297,</t>
  </si>
  <si>
    <t>(S8) - Seth Wallace - RB,TPE: 50, http://nsfl.jcink.net/index.php?showtopic=8256,</t>
  </si>
  <si>
    <t>(S8) - Harry Balzac - S,TPE: 50, http://nsfl.jcink.net/index.php?showtopic=8249,</t>
  </si>
  <si>
    <t>(S8) - D.J. Riddick - RB,TPE: 124, http://nsfl.jcink.net/index.php?showtopic=8231,</t>
  </si>
  <si>
    <t>(S8) - Justin Davis - K/P,TPE: 55, http://nsfl.jcink.net/index.php?showtopic=8151,</t>
  </si>
  <si>
    <t>(S13) - Tyler Swift - RB,TPE: 444, http://nsfl.jcink.net/index.php?showtopic=11230,</t>
  </si>
  <si>
    <t>(S13) - Benson Harris - DT,TPE: 398, http://nsfl.jcink.net/index.php?showtopic=11077,</t>
  </si>
  <si>
    <t>(S12) - Rylant Wright - WR,TPE: 167, http://nsfl.jcink.net/index.php?showtopic=10941,</t>
  </si>
  <si>
    <t>(S12) - Grayson Kuusela - DE,TPE: 430, http://nsfl.jcink.net/index.php?showtopic=10541,</t>
  </si>
  <si>
    <t>(S12) - Aksel Danielsson - RB,TPE: 412, http://nsfl.jcink.net/index.php?showtopic=10476,</t>
  </si>
  <si>
    <t>(S11) - Gordon Ramsey Jr. - CB,TPE: 213, http://nsfl.jcink.net/index.php?showtopic=10133,</t>
  </si>
  <si>
    <t>(S11) - Franklin Townsend - DT,TPE: 94, http://nsfl.jcink.net/index.php?showtopic=10048,</t>
  </si>
  <si>
    <t>(S11) - Tana Keïta - LB,TPE: 595, http://nsfl.jcink.net/index.php?showtopic=9991,</t>
  </si>
  <si>
    <t>(S11) - Thjalfi Halvorsen - WR,TPE: 212, http://nsfl.jcink.net/index.php?showtopic=9846,</t>
  </si>
  <si>
    <t>(S10) - Lo Rax - DE,TPE: 691, http://nsfl.jcink.net/index.php?showtopic=9453,</t>
  </si>
  <si>
    <t>(S10) - Damien Arnold - S,TPE: 279, http://nsfl.jcink.net/index.php?showtopic=9461,</t>
  </si>
  <si>
    <t>(S9) - Jesse Marchand - LB,TPE: 250, http://nsfl.jcink.net/index.php?showtopic=8932,</t>
  </si>
  <si>
    <t>(S9) - Barnaby Earl - LB,TPE: 214, http://nsfl.jcink.net/index.php?showtopic=8797,</t>
  </si>
  <si>
    <t>(S8) - Beat Meoff - K,TPE: 170, http://nsfl.jcink.net/index.php?showtopic=7941,</t>
  </si>
  <si>
    <t>(S8) - William H. Harrison - S,TPE: 882, http://nsfl.jcink.net/index.php?showtopic=7904,</t>
  </si>
  <si>
    <t>(S7) - Vladimir Fyodorovich - WR,TPE: 1146, http://nsfl.jcink.net/index.php?showtopic=7650,</t>
  </si>
  <si>
    <t>(S6) - Borkus Maximus III - QB,TPE: 901, http://nsfl.jcink.net/index.php?showtopic=6596,</t>
  </si>
  <si>
    <t>(S13) - Johnny Blaze - TE,TPE: 264, http://nsfl.jcink.net/index.php?showtopic=11463,</t>
  </si>
  <si>
    <t>(S13) - David Ginsberg - LB,TPE: 279, http://nsfl.jcink.net/index.php?showtopic=11206,</t>
  </si>
  <si>
    <t>(S12) - Tommy Salami - DE,TPE: 216, http://nsfl.jcink.net/index.php?showtopic=10982,</t>
  </si>
  <si>
    <t>(S12) - Django Anoa'i - WR,TPE: 309, http://nsfl.jcink.net/index.php?showtopic=10643,</t>
  </si>
  <si>
    <t>(S12) - Thorian Skarsgard - DT,TPE: 512, http://nsfl.jcink.net/index.php?showtopic=10568,</t>
  </si>
  <si>
    <t>(S11) - Jonathan Rice - CB,TPE: 421, http://nsfl.jcink.net/index.php?showtopic=10206,</t>
  </si>
  <si>
    <t>(S11) - Dan Schneider - S,TPE: 662, http://nsfl.jcink.net/index.php?showtopic=10056,</t>
  </si>
  <si>
    <t>(S11) - Marc Spector - CB,TPE: 520, http://nsfl.jcink.net/index.php?showtopic=9997,</t>
  </si>
  <si>
    <t>(S11) - Sunnycursed - WR,TPE: 760, http://nsfl.jcink.net/index.php?showtopic=9850,</t>
  </si>
  <si>
    <t>(S10) - Adam Anderson - K/P,TPE: 140, http://nsfl.jcink.net/index.php?showtopic=9776,</t>
  </si>
  <si>
    <t>(S10) - Seer Zephyrous - RB,TPE: 382, http://nsfl.jcink.net/index.php?showtopic=9741,</t>
  </si>
  <si>
    <t>(S10) - Danny Grithead - S,TPE: 979, http://nsfl.jcink.net/index.php?showtopic=9290,</t>
  </si>
  <si>
    <t>(S9) - Gus T.T. Showbiz - QB,TPE: 976, http://nsfl.jcink.net/index.php?showtopic=8771,</t>
  </si>
  <si>
    <t>(S9) - Ricky Adams - RB,TPE: 676, http://nsfl.jcink.net/index.php?showtopic=8740,</t>
  </si>
  <si>
    <t>(S9) - Young Spaghetti - DE,TPE: 110, http://nsfl.jcink.net/index.php?showtopic=8552,</t>
  </si>
  <si>
    <t>(S8) - Rickey Ramero - DE,TPE: 551, http://nsfl.jcink.net/index.php?showtopic=7834,</t>
  </si>
  <si>
    <t>(S7) - Mason Brown - S,TPE: 811, http://nsfl.jcink.net/index.php?showtopic=7823,</t>
  </si>
  <si>
    <t>(S6) - Jaylon Broxton - S,TPE: 894, http://nsfl.jcink.net/index.php?showtopic=6550,</t>
  </si>
  <si>
    <t>(S6) - Glenn McPoyal - TE,TPE: 336, http://nsfl.jcink.net/index.php?showtopic=6250,</t>
  </si>
  <si>
    <t>(S5) - Carlito Crush - WR,TPE: 759, http://nsfl.jcink.net/index.php?showtopic=5103,</t>
  </si>
  <si>
    <t>(S14) - Maxwell Beard - DT,TPE: 136, http://nsfl.jcink.net/index.php?showtopic=11658,</t>
  </si>
  <si>
    <t>(S13) - Corwin Davenport - RB,TPE: 155, http://nsfl.jcink.net/index.php?showtopic=11533,</t>
  </si>
  <si>
    <t>(S13) - Chris Steele - CB,TPE: 142, http://nsfl.jcink.net/index.php?showtopic=11408,</t>
  </si>
  <si>
    <t>(S12) - Fast Boija - RB,TPE: 209, http://nsfl.jcink.net/index.php?showtopic=10864,</t>
  </si>
  <si>
    <t>(S12) - Luke Smyles - DE,TPE: 414, http://nsfl.jcink.net/index.php?showtopic=10638,</t>
  </si>
  <si>
    <t>(S12) - Ikaika Kalilimoku - DE,TPE: 228, http://nsfl.jcink.net/index.php?showtopic=10529,</t>
  </si>
  <si>
    <t>(S11) - Johnson Cox III - CB,TPE: 258, http://nsfl.jcink.net/index.php?showtopic=10354,</t>
  </si>
  <si>
    <t>(S11) - Roger Batoff - WR,TPE: 386, http://nsfl.jcink.net/index.php?showtopic=10256,</t>
  </si>
  <si>
    <t>(S11) - Kulture Fulture - K/P,TPE: 594, http://nsfl.jcink.net/index.php?showtopic=10126,</t>
  </si>
  <si>
    <t>(S11) - Curtis Saul - DT,TPE: 453, http://nsfl.jcink.net/index.php?showtopic=10121,</t>
  </si>
  <si>
    <t>(S11) - K.J. Becker - LB,TPE: 614, http://nsfl.jcink.net/index.php?showtopic=10018,</t>
  </si>
  <si>
    <t>(S11) - Lennox Garnett - S,TPE: 800, http://nsfl.jcink.net/index.php?showtopic=10004,</t>
  </si>
  <si>
    <t>(S10) - Frank Fort - S,TPE: 96, http://nsfl.jcink.net/index.php?showtopic=9820,</t>
  </si>
  <si>
    <t>(S10) - Jordan von Matt - WR,TPE: 716, http://nsfl.jcink.net/index.php?showtopic=9512,</t>
  </si>
  <si>
    <t>(S10) - Ryland Morley - DE,TPE: 90, http://nsfl.jcink.net/index.php?showtopic=9406,</t>
  </si>
  <si>
    <t>(S10) - Lucari Felix - CB,TPE: 468, http://nsfl.jcink.net/index.php?showtopic=9229,</t>
  </si>
  <si>
    <t>(S10) - Adriana Falconi - QB,TPE: 875, http://nsfl.jcink.net/index.php?showtopic=9220,</t>
  </si>
  <si>
    <t>(S9) - Bucky Barnes - S,TPE: 985, http://nsfl.jcink.net/index.php?showtopic=8553,</t>
  </si>
  <si>
    <t>(S6) - Carter Bush - WR,TPE: 501, http://nsfl.jcink.net/index.php?showtopic=6687,</t>
  </si>
  <si>
    <t>(S13) - Spencer Castle - CB,TPE: 383, http://nsfl.jcink.net/index.php?showtopic=11274,</t>
  </si>
  <si>
    <t>(S12) - Ja'brill Tuck - DE,TPE: 273, http://nsfl.jcink.net/index.php?showtopic=11050,</t>
  </si>
  <si>
    <t>(S12) - Neo Donaldson - K/P,TPE: 257, http://nsfl.jcink.net/index.php?showtopic=11045,</t>
  </si>
  <si>
    <t>(S12) - Jorel Tuck - S,TPE: 484, http://nsfl.jcink.net/index.php?showtopic=11019,</t>
  </si>
  <si>
    <t>(S12) - Ronnie Williams - TE,TPE: 124, http://nsfl.jcink.net/index.php?showtopic=10732,</t>
  </si>
  <si>
    <t>(S12) - Trey Staley - S,TPE: 429, http://nsfl.jcink.net/index.php?showtopic=10671,</t>
  </si>
  <si>
    <t>(S12) - Freezer Riposte - DT,TPE: 550, http://nsfl.jcink.net/index.php?showtopic=10513,</t>
  </si>
  <si>
    <t>(S11) - Jerrod Canton - RB,TPE: 576, http://nsfl.jcink.net/index.php?showtopic=10212,</t>
  </si>
  <si>
    <t>(S11) - Ty Justice - WR,TPE: 284, http://nsfl.jcink.net/index.php?showtopic=10134,</t>
  </si>
  <si>
    <t>(S11) - Danny Methane - DE,TPE: 216, http://nsfl.jcink.net/index.php?showtopic=10052,</t>
  </si>
  <si>
    <t>(S11) - Footballer Sackerman - DT,TPE: 451, http://nsfl.jcink.net/index.php?showtopic=9979,</t>
  </si>
  <si>
    <t>(S10) - Xandra Troyski - CB,TPE: 697, http://nsfl.jcink.net/index.php?showtopic=9472,</t>
  </si>
  <si>
    <t>(S10) - Chris Orosz - RB,TPE: 461, http://nsfl.jcink.net/index.php?showtopic=9383,</t>
  </si>
  <si>
    <t>(S10) - D'Pez Poopsie - DE,TPE: 982, http://nsfl.jcink.net/index.php?showtopic=9381,</t>
  </si>
  <si>
    <t>(S10) - Kazimir Oles - WR,TPE: 950, http://nsfl.jcink.net/index.php?showtopic=9239,</t>
  </si>
  <si>
    <t>(S10) - Joliet L. Christ - QB,TPE: 845, http://nsfl.jcink.net/index.php?showtopic=9189,</t>
  </si>
  <si>
    <t>(S9) - Kolby Deringer - LB,TPE: 1038, http://nsfl.jcink.net/index.php?showtopic=8851,</t>
  </si>
  <si>
    <t>(S9) - Xavier Flash - WR,TPE: 907, http://nsfl.jcink.net/index.php?showtopic=8717,</t>
  </si>
  <si>
    <t>(S9) - Zapp Brannigan - TE,TPE: 581, http://nsfl.jcink.net/index.php?showtopic=8551,</t>
  </si>
  <si>
    <t>(S8) - Thad Pennington - S,TPE: 713, http://nsfl.jcink.net/index.php?showtopic=7933,</t>
  </si>
  <si>
    <t>(S8) - Chad Pennington - LB,TPE: 1142, http://nsfl.jcink.net/index.php?showtopic=7930,</t>
  </si>
  <si>
    <t>(S14) - Sandip &amp;quot;Sandy&amp;quot; Bakshi - LB,TPE: 125, http://nsfl.jcink.net/index.php?showtopic=11946,</t>
  </si>
  <si>
    <t>(S13) - Knute Knurtsson - S,TPE: 165, http://nsfl.jcink.net/index.php?showtopic=11536,</t>
  </si>
  <si>
    <t>(S13) - Nate Swift - WR,TPE: 304, http://nsfl.jcink.net/index.php?showtopic=11451,</t>
  </si>
  <si>
    <t>(S13) - Johnny Snuggles - CB,TPE: 484, http://nsfl.jcink.net/index.php?showtopic=11170,</t>
  </si>
  <si>
    <t>(S12) - Pecker Cox - DT,TPE: 126, http://nsfl.jcink.net/index.php?showtopic=11027,</t>
  </si>
  <si>
    <t>(S12) - Tommy Helanen - WR,TPE: 439, http://nsfl.jcink.net/index.php?showtopic=11004,</t>
  </si>
  <si>
    <t>(S12) - Jeff Jefferson IV - S,TPE: 182, http://nsfl.jcink.net/index.php?showtopic=10738,</t>
  </si>
  <si>
    <t>(S12) - Dick Wizardry - RB,TPE: 615, http://nsfl.jcink.net/index.php?showtopic=10648,</t>
  </si>
  <si>
    <t>(S11) - Thomas Carrasco - RB,TPE: 177, http://nsfl.jcink.net/index.php?showtopic=10402,</t>
  </si>
  <si>
    <t>(S11) - Will Foster - DT,TPE: 271, http://nsfl.jcink.net/index.php?showtopic=10136,</t>
  </si>
  <si>
    <t>(S11) - Bobson Dugnutt - CB,TPE: 345, http://nsfl.jcink.net/index.php?showtopic=10092,</t>
  </si>
  <si>
    <t>(S11) - Josh Parker - WR,TPE: 558, http://nsfl.jcink.net/index.php?showtopic=10061,</t>
  </si>
  <si>
    <t>(S11) - Adrian Pitcher - TE,TPE: 176, http://nsfl.jcink.net/index.php?showtopic=9830,</t>
  </si>
  <si>
    <t>(S11) - Alex Selich - LB,TPE: 672, http://nsfl.jcink.net/index.php?showtopic=9833,</t>
  </si>
  <si>
    <t>(S8) - Ramadan Steve - DT,TPE: 152, http://nsfl.jcink.net/index.php?showtopic=8030,</t>
  </si>
  <si>
    <t>(S8) - Brad Pennington - WR,TPE: 688, http://nsfl.jcink.net/index.php?showtopic=8034,</t>
  </si>
  <si>
    <t>(S7) - Zach Skinner - DE,TPE: 463, http://nsfl.jcink.net/index.php?showtopic=7874,</t>
  </si>
  <si>
    <t>(S7) - Ryan Applehort - QB,TPE: 1158, http://nsfl.jcink.net/index.php?showtopic=7424,</t>
  </si>
  <si>
    <t>(S6) - Forfeit - K/P,TPE: 197, http://nsfl.jcink.net/index.php?showtopic=6578,</t>
  </si>
  <si>
    <t>(S5) - Cameron Taylor - S,TPE: 620, http://nsfl.jcink.net/index.php?showtopic=5347,</t>
  </si>
  <si>
    <t>ID</t>
  </si>
  <si>
    <t>Drafted</t>
  </si>
  <si>
    <t>Team</t>
  </si>
  <si>
    <t>Name</t>
  </si>
  <si>
    <t>Position</t>
  </si>
  <si>
    <t>TPE</t>
  </si>
  <si>
    <t>Line</t>
  </si>
  <si>
    <t>(S15) - Kermit Stronglegs - RB,TPE: 50, http://nsfl.jcink.net/index.php?showtopic=12142,</t>
  </si>
  <si>
    <t>(S8) - Balthazar Crindy - TE,TPE: 510, http://nsfl.jcink.net/index.php?showtopic=8524,</t>
  </si>
  <si>
    <t>(S8) - Viggo Squanch - WR,TPE: 779, http://nsfl.jcink.net/index.php?showtopic=8061,</t>
  </si>
  <si>
    <t>(S9) - Kyle Corbett - K/P,TPE: 104, http://nsfl.jcink.net/index.php?showtopic=9009,</t>
  </si>
  <si>
    <t>(S9) - Ricardo Jones - WR,TPE: 79, http://nsfl.jcink.net/index.php?showtopic=8721,</t>
  </si>
  <si>
    <t>(S11) - Jaylin Hobbs - DT,TPE: 273, http://nsfl.jcink.net/index.php?showtopic=10429,</t>
  </si>
  <si>
    <t>(S12) - Devon Baxter - WR,TPE: 178, http://nsfl.jcink.net/index.php?showtopic=10516,</t>
  </si>
  <si>
    <t>(S13) - Blake McCargue - OL,TPE: 143, http://nsfl.jcink.net/index.php?showtopic=11082,</t>
  </si>
  <si>
    <t>(S15) - Cedric Parker - WR,TPE: 50, http://nsfl.jcink.net/index.php?showtopic=12471,</t>
  </si>
  <si>
    <t>(S5) - Ryan Sierra - DT,TPE: 175, http://nsfl.jcink.net/index.php?showtopic=5326,</t>
  </si>
  <si>
    <t>(S13) - Ladarius Ansong - TE,TPE: 50, http://nsfl.jcink.net/index.php?showtopic=11418,</t>
  </si>
  <si>
    <t>(S10) - True Pierce - LB,TPE: 76, http://nsfl.jcink.net/index.php?showtopic=9797,</t>
  </si>
  <si>
    <t>(S15) - RKANSAW N/A - RB, TPE: 50, http://nsfl.jcink.net/index.php?showtopic=12778,</t>
  </si>
  <si>
    <t>(S15) - Michael Beckham - LB, TPE: 50, http://nsfl.jcink.net/index.php?showtopic=12839,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</si>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</sst>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watson/AppData/Roaming/Microsoft/AddIns/ProfessahKToolbar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ned"/>
      <sheetName val="combine"/>
      <sheetName val="testing"/>
      <sheetName val="DateFormats"/>
      <sheetName val="Options"/>
      <sheetName val="Index"/>
    </sheetNames>
    <definedNames>
      <definedName name="Numerize"/>
      <definedName name="RegExpSubstitute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75"/>
  <sheetViews>
    <sheetView tabSelected="1" workbookViewId="0">
      <selection activeCell="E26" sqref="E26"/>
    </sheetView>
  </sheetViews>
  <sheetFormatPr defaultColWidth="0" defaultRowHeight="15" x14ac:dyDescent="0.25"/>
  <cols>
    <col min="1" max="4" width="9.140625" customWidth="1"/>
    <col min="5" max="5" width="41.5703125" bestFit="1" customWidth="1"/>
    <col min="6" max="7" width="9.140625" customWidth="1"/>
    <col min="8" max="8" width="57.140625" customWidth="1"/>
    <col min="9" max="16384" width="9.140625" hidden="1"/>
  </cols>
  <sheetData>
    <row r="1" spans="1:8" x14ac:dyDescent="0.25">
      <c r="A1" s="1" t="s">
        <v>381</v>
      </c>
      <c r="B1" s="1" t="s">
        <v>360</v>
      </c>
      <c r="C1" s="1" t="s">
        <v>361</v>
      </c>
      <c r="D1" s="1" t="s">
        <v>362</v>
      </c>
      <c r="E1" s="1" t="s">
        <v>363</v>
      </c>
      <c r="F1" s="1" t="s">
        <v>364</v>
      </c>
      <c r="G1" s="1" t="s">
        <v>365</v>
      </c>
      <c r="H1" s="1" t="s">
        <v>366</v>
      </c>
    </row>
    <row r="2" spans="1:8" x14ac:dyDescent="0.25">
      <c r="A2">
        <f>COUNTIF($B$2:$B$375,B2)</f>
        <v>1</v>
      </c>
      <c r="B2" t="str">
        <f>[1]!Numerize(MID(H2,FIND("=",H2),10))</f>
        <v>3212</v>
      </c>
      <c r="C2" t="str">
        <f>MID(H2,FIND("(",H2)+1,FIND(")",H2)-FIND("(",H2)-1)</f>
        <v>FL</v>
      </c>
      <c r="E2" t="str">
        <f>[1]!RegExpSubstitute(MID(H2,FIND("- ",H2)+2,FIND("- ",H2,FIND("- ",H2)+1)-FIND("- ",H2)-2),"\&amp;quot\;.*\&amp;quot\;\W","")</f>
        <v xml:space="preserve">Marvin Dogan </v>
      </c>
      <c r="G2">
        <f>MID(H2,FIND("TPE: ",H2)+5,FIND(", ",H2,FIND("TPE: ",H2))-FIND("TPE: ",H2)-5)+0</f>
        <v>50</v>
      </c>
      <c r="H2" t="s">
        <v>106</v>
      </c>
    </row>
    <row r="3" spans="1:8" x14ac:dyDescent="0.25">
      <c r="A3">
        <f>COUNTIF($B$2:$B$375,B3)</f>
        <v>1</v>
      </c>
      <c r="B3" t="str">
        <f>[1]!Numerize(MID(H3,FIND("=",H3),10))</f>
        <v>3209</v>
      </c>
      <c r="C3" t="str">
        <f t="shared" ref="C3:C66" si="0">MID(H3,FIND("(",H3)+1,FIND(")",H3)-FIND("(",H3)-1)</f>
        <v>FL</v>
      </c>
      <c r="E3" t="str">
        <f>[1]!RegExpSubstitute(MID(H3,FIND("- ",H3)+2,FIND("- ",H3,FIND("- ",H3)+1)-FIND("- ",H3)-2),"\&amp;quot\;.*\&amp;quot\;\W","")</f>
        <v xml:space="preserve">Mathew Nector </v>
      </c>
      <c r="G3">
        <f t="shared" ref="G3:G66" si="1">MID(H3,FIND("TPE: ",H3)+5,FIND(", ",H3,FIND("TPE: ",H3))-FIND("TPE: ",H3)-5)+0</f>
        <v>50</v>
      </c>
      <c r="H3" t="s">
        <v>109</v>
      </c>
    </row>
    <row r="4" spans="1:8" x14ac:dyDescent="0.25">
      <c r="A4">
        <f>COUNTIF($B$2:$B$375,B4)</f>
        <v>1</v>
      </c>
      <c r="B4" t="str">
        <f>[1]!Numerize(MID(H4,FIND("=",H4),10))</f>
        <v>3211</v>
      </c>
      <c r="C4" t="str">
        <f t="shared" si="0"/>
        <v>FL</v>
      </c>
      <c r="E4" t="str">
        <f>[1]!RegExpSubstitute(MID(H4,FIND("- ",H4)+2,FIND("- ",H4,FIND("- ",H4)+1)-FIND("- ",H4)-2),"\&amp;quot\;.*\&amp;quot\;\W","")</f>
        <v xml:space="preserve">Paul Underhill </v>
      </c>
      <c r="G4">
        <f t="shared" si="1"/>
        <v>50</v>
      </c>
      <c r="H4" t="s">
        <v>107</v>
      </c>
    </row>
    <row r="5" spans="1:8" x14ac:dyDescent="0.25">
      <c r="A5">
        <f>COUNTIF($B$2:$B$375,B5)</f>
        <v>1</v>
      </c>
      <c r="B5" t="str">
        <f>[1]!Numerize(MID(H5,FIND("=",H5),10))</f>
        <v>3210</v>
      </c>
      <c r="C5" t="str">
        <f t="shared" si="0"/>
        <v>FL</v>
      </c>
      <c r="E5" t="str">
        <f>[1]!RegExpSubstitute(MID(H5,FIND("- ",H5)+2,FIND("- ",H5,FIND("- ",H5)+1)-FIND("- ",H5)-2),"\&amp;quot\;.*\&amp;quot\;\W","")</f>
        <v xml:space="preserve">Sable Runestad </v>
      </c>
      <c r="G5">
        <f t="shared" si="1"/>
        <v>50</v>
      </c>
      <c r="H5" t="s">
        <v>108</v>
      </c>
    </row>
    <row r="6" spans="1:8" x14ac:dyDescent="0.25">
      <c r="A6">
        <f>COUNTIF($B$2:$B$375,B6)</f>
        <v>1</v>
      </c>
      <c r="B6" t="str">
        <f>[1]!Numerize(MID(H6,FIND("=",H6),10))</f>
        <v>3213</v>
      </c>
      <c r="C6" t="str">
        <f t="shared" si="0"/>
        <v>FL</v>
      </c>
      <c r="E6" t="str">
        <f>[1]!RegExpSubstitute(MID(H6,FIND("- ",H6)+2,FIND("- ",H6,FIND("- ",H6)+1)-FIND("- ",H6)-2),"\&amp;quot\;.*\&amp;quot\;\W","")</f>
        <v xml:space="preserve">Walter Blore </v>
      </c>
      <c r="G6">
        <f t="shared" si="1"/>
        <v>50</v>
      </c>
      <c r="H6" t="s">
        <v>105</v>
      </c>
    </row>
    <row r="7" spans="1:8" x14ac:dyDescent="0.25">
      <c r="A7">
        <f>COUNTIF($B$2:$B$375,B7)</f>
        <v>1</v>
      </c>
      <c r="B7" t="str">
        <f>[1]!Numerize(MID(H7,FIND("=",H7),10))</f>
        <v>11466</v>
      </c>
      <c r="C7" t="str">
        <f t="shared" si="0"/>
        <v>GM</v>
      </c>
      <c r="E7" t="str">
        <f>[1]!RegExpSubstitute(MID(H7,FIND("- ",H7)+2,FIND("- ",H7,FIND("- ",H7)+1)-FIND("- ",H7)-2),"\&amp;quot\;.*\&amp;quot\;\W","")</f>
        <v xml:space="preserve">Bass Reeves </v>
      </c>
      <c r="G7">
        <f t="shared" si="1"/>
        <v>100</v>
      </c>
      <c r="H7" t="s">
        <v>134</v>
      </c>
    </row>
    <row r="8" spans="1:8" x14ac:dyDescent="0.25">
      <c r="A8">
        <f>COUNTIF($B$2:$B$375,B8)</f>
        <v>1</v>
      </c>
      <c r="B8" t="str">
        <f>[1]!Numerize(MID(H8,FIND("=",H8),10))</f>
        <v>12847</v>
      </c>
      <c r="C8" t="str">
        <f t="shared" si="0"/>
        <v>GM</v>
      </c>
      <c r="E8" t="str">
        <f>[1]!RegExpSubstitute(MID(H8,FIND("- ",H8)+2,FIND("- ",H8,FIND("- ",H8)+1)-FIND("- ",H8)-2),"\&amp;quot\;.*\&amp;quot\;\W","")</f>
        <v xml:space="preserve">Clears D'Way </v>
      </c>
      <c r="G8">
        <f t="shared" si="1"/>
        <v>50</v>
      </c>
      <c r="H8" t="s">
        <v>32</v>
      </c>
    </row>
    <row r="9" spans="1:8" x14ac:dyDescent="0.25">
      <c r="A9">
        <f>COUNTIF($B$2:$B$375,B9)</f>
        <v>1</v>
      </c>
      <c r="B9" t="str">
        <f>[1]!Numerize(MID(H9,FIND("=",H9),10))</f>
        <v>11467</v>
      </c>
      <c r="C9" t="str">
        <f t="shared" si="0"/>
        <v>GM</v>
      </c>
      <c r="E9" t="str">
        <f>[1]!RegExpSubstitute(MID(H9,FIND("- ",H9)+2,FIND("- ",H9,FIND("- ",H9)+1)-FIND("- ",H9)-2),"\&amp;quot\;.*\&amp;quot\;\W","")</f>
        <v xml:space="preserve">James Hickok </v>
      </c>
      <c r="G9">
        <f t="shared" si="1"/>
        <v>100</v>
      </c>
      <c r="H9" t="s">
        <v>133</v>
      </c>
    </row>
    <row r="10" spans="1:8" x14ac:dyDescent="0.25">
      <c r="A10">
        <f>COUNTIF($B$2:$B$375,B10)</f>
        <v>1</v>
      </c>
      <c r="B10" t="str">
        <f>[1]!Numerize(MID(H10,FIND("=",H10),10))</f>
        <v>11543</v>
      </c>
      <c r="C10" t="str">
        <f t="shared" si="0"/>
        <v>GM</v>
      </c>
      <c r="E10" t="str">
        <f>[1]!RegExpSubstitute(MID(H10,FIND("- ",H10)+2,FIND("- ",H10,FIND("- ",H10)+1)-FIND("- ",H10)-2),"\&amp;quot\;.*\&amp;quot\;\W","")</f>
        <v xml:space="preserve">Mav Fatha </v>
      </c>
      <c r="G10">
        <f t="shared" si="1"/>
        <v>100</v>
      </c>
      <c r="H10" t="s">
        <v>21</v>
      </c>
    </row>
    <row r="11" spans="1:8" x14ac:dyDescent="0.25">
      <c r="A11">
        <f>COUNTIF($B$2:$B$375,B11)</f>
        <v>1</v>
      </c>
      <c r="B11" t="str">
        <f>[1]!Numerize(MID(H11,FIND("=",H11),10))</f>
        <v>11545</v>
      </c>
      <c r="C11" t="str">
        <f t="shared" si="0"/>
        <v>GM</v>
      </c>
      <c r="E11" t="str">
        <f>[1]!RegExpSubstitute(MID(H11,FIND("- ",H11)+2,FIND("- ",H11,FIND("- ",H11)+1)-FIND("- ",H11)-2),"\&amp;quot\;.*\&amp;quot\;\W","")</f>
        <v xml:space="preserve">McGriddle Luver </v>
      </c>
      <c r="G11">
        <f t="shared" si="1"/>
        <v>100</v>
      </c>
      <c r="H11" t="s">
        <v>20</v>
      </c>
    </row>
    <row r="12" spans="1:8" x14ac:dyDescent="0.25">
      <c r="A12">
        <f>COUNTIF($B$2:$B$375,B12)</f>
        <v>1</v>
      </c>
      <c r="B12" t="str">
        <f>[1]!Numerize(MID(H12,FIND("=",H12),10))</f>
        <v>12848</v>
      </c>
      <c r="C12" t="str">
        <f t="shared" si="0"/>
        <v>GM</v>
      </c>
      <c r="E12" t="str">
        <f>[1]!RegExpSubstitute(MID(H12,FIND("- ",H12)+2,FIND("- ",H12,FIND("- ",H12)+1)-FIND("- ",H12)-2),"\&amp;quot\;.*\&amp;quot\;\W","")</f>
        <v xml:space="preserve">Richard Edwin Normous </v>
      </c>
      <c r="G12">
        <f t="shared" si="1"/>
        <v>50</v>
      </c>
      <c r="H12" t="s">
        <v>31</v>
      </c>
    </row>
    <row r="13" spans="1:8" x14ac:dyDescent="0.25">
      <c r="A13">
        <f>COUNTIF($B$2:$B$375,B13)</f>
        <v>1</v>
      </c>
      <c r="B13" t="str">
        <f>[1]!Numerize(MID(H13,FIND("=",H13),10))</f>
        <v>9815</v>
      </c>
      <c r="C13" t="str">
        <f t="shared" si="0"/>
        <v>S10</v>
      </c>
      <c r="E13" t="str">
        <f>[1]!RegExpSubstitute(MID(H13,FIND("- ",H13)+2,FIND("- ",H13,FIND("- ",H13)+1)-FIND("- ",H13)-2),"\&amp;quot\;.*\&amp;quot\;\W","")</f>
        <v xml:space="preserve">A.J. Robertson </v>
      </c>
      <c r="G13">
        <f t="shared" si="1"/>
        <v>249</v>
      </c>
      <c r="H13" t="s">
        <v>185</v>
      </c>
    </row>
    <row r="14" spans="1:8" x14ac:dyDescent="0.25">
      <c r="A14">
        <f>COUNTIF($B$2:$B$375,B14)</f>
        <v>1</v>
      </c>
      <c r="B14" t="str">
        <f>[1]!Numerize(MID(H14,FIND("=",H14),10))</f>
        <v>9347</v>
      </c>
      <c r="C14" t="str">
        <f t="shared" si="0"/>
        <v>S10</v>
      </c>
      <c r="E14" t="str">
        <f>[1]!RegExpSubstitute(MID(H14,FIND("- ",H14)+2,FIND("- ",H14,FIND("- ",H14)+1)-FIND("- ",H14)-2),"\&amp;quot\;.*\&amp;quot\;\W","")</f>
        <v xml:space="preserve">Achilles Hondo </v>
      </c>
      <c r="G14">
        <f t="shared" si="1"/>
        <v>685</v>
      </c>
      <c r="H14" t="s">
        <v>207</v>
      </c>
    </row>
    <row r="15" spans="1:8" x14ac:dyDescent="0.25">
      <c r="A15">
        <f>COUNTIF($B$2:$B$375,B15)</f>
        <v>1</v>
      </c>
      <c r="B15" t="str">
        <f>[1]!Numerize(MID(H15,FIND("=",H15),10))</f>
        <v>9776</v>
      </c>
      <c r="C15" t="str">
        <f t="shared" si="0"/>
        <v>S10</v>
      </c>
      <c r="E15" t="str">
        <f>[1]!RegExpSubstitute(MID(H15,FIND("- ",H15)+2,FIND("- ",H15,FIND("- ",H15)+1)-FIND("- ",H15)-2),"\&amp;quot\;.*\&amp;quot\;\W","")</f>
        <v xml:space="preserve">Adam Anderson </v>
      </c>
      <c r="G15">
        <f t="shared" si="1"/>
        <v>140</v>
      </c>
      <c r="H15" t="s">
        <v>289</v>
      </c>
    </row>
    <row r="16" spans="1:8" x14ac:dyDescent="0.25">
      <c r="A16">
        <f>COUNTIF($B$2:$B$375,B16)</f>
        <v>1</v>
      </c>
      <c r="B16" t="str">
        <f>[1]!Numerize(MID(H16,FIND("=",H16),10))</f>
        <v>9540</v>
      </c>
      <c r="C16" t="str">
        <f t="shared" si="0"/>
        <v>S10</v>
      </c>
      <c r="E16" t="str">
        <f>[1]!RegExpSubstitute(MID(H16,FIND("- ",H16)+2,FIND("- ",H16,FIND("- ",H16)+1)-FIND("- ",H16)-2),"\&amp;quot\;.*\&amp;quot\;\W","")</f>
        <v xml:space="preserve">Adam Krossman </v>
      </c>
      <c r="G16">
        <f t="shared" si="1"/>
        <v>76</v>
      </c>
      <c r="H16" t="s">
        <v>244</v>
      </c>
    </row>
    <row r="17" spans="1:8" x14ac:dyDescent="0.25">
      <c r="A17">
        <f>COUNTIF($B$2:$B$375,B17)</f>
        <v>1</v>
      </c>
      <c r="B17" t="str">
        <f>[1]!Numerize(MID(H17,FIND("=",H17),10))</f>
        <v>9220</v>
      </c>
      <c r="C17" t="str">
        <f t="shared" si="0"/>
        <v>S10</v>
      </c>
      <c r="E17" t="str">
        <f>[1]!RegExpSubstitute(MID(H17,FIND("- ",H17)+2,FIND("- ",H17,FIND("- ",H17)+1)-FIND("- ",H17)-2),"\&amp;quot\;.*\&amp;quot\;\W","")</f>
        <v xml:space="preserve">Adriana Falconi </v>
      </c>
      <c r="G17">
        <f t="shared" si="1"/>
        <v>875</v>
      </c>
      <c r="H17" t="s">
        <v>316</v>
      </c>
    </row>
    <row r="18" spans="1:8" x14ac:dyDescent="0.25">
      <c r="A18">
        <f>COUNTIF($B$2:$B$375,B18)</f>
        <v>1</v>
      </c>
      <c r="B18" t="str">
        <f>[1]!Numerize(MID(H18,FIND("=",H18),10))</f>
        <v>9738</v>
      </c>
      <c r="C18" t="str">
        <f t="shared" si="0"/>
        <v>S10</v>
      </c>
      <c r="E18" t="str">
        <f>[1]!RegExpSubstitute(MID(H18,FIND("- ",H18)+2,FIND("- ",H18,FIND("- ",H18)+1)-FIND("- ",H18)-2),"\&amp;quot\;.*\&amp;quot\;\W","")</f>
        <v xml:space="preserve">Augustin LaDande </v>
      </c>
      <c r="G18">
        <f t="shared" si="1"/>
        <v>50</v>
      </c>
      <c r="H18" t="s">
        <v>242</v>
      </c>
    </row>
    <row r="19" spans="1:8" x14ac:dyDescent="0.25">
      <c r="A19">
        <f>COUNTIF($B$2:$B$375,B19)</f>
        <v>1</v>
      </c>
      <c r="B19" t="str">
        <f>[1]!Numerize(MID(H19,FIND("=",H19),10))</f>
        <v>9416</v>
      </c>
      <c r="C19" t="str">
        <f t="shared" si="0"/>
        <v>S10</v>
      </c>
      <c r="E19" t="str">
        <f>[1]!RegExpSubstitute(MID(H19,FIND("- ",H19)+2,FIND("- ",H19,FIND("- ",H19)+1)-FIND("- ",H19)-2),"\&amp;quot\;.*\&amp;quot\;\W","")</f>
        <v xml:space="preserve">Avery Woodham </v>
      </c>
      <c r="G19">
        <f t="shared" si="1"/>
        <v>182</v>
      </c>
      <c r="H19" t="s">
        <v>187</v>
      </c>
    </row>
    <row r="20" spans="1:8" x14ac:dyDescent="0.25">
      <c r="A20">
        <f>COUNTIF($B$2:$B$375,B20)</f>
        <v>1</v>
      </c>
      <c r="B20" t="str">
        <f>[1]!Numerize(MID(H20,FIND("=",H20),10))</f>
        <v>9569</v>
      </c>
      <c r="C20" t="str">
        <f t="shared" si="0"/>
        <v>S10</v>
      </c>
      <c r="E20" t="str">
        <f>[1]!RegExpSubstitute(MID(H20,FIND("- ",H20)+2,FIND("- ",H20,FIND("- ",H20)+1)-FIND("- ",H20)-2),"\&amp;quot\;.*\&amp;quot\;\W","")</f>
        <v xml:space="preserve">Brock St. Winchester </v>
      </c>
      <c r="G20">
        <f t="shared" si="1"/>
        <v>50</v>
      </c>
      <c r="H20" t="s">
        <v>54</v>
      </c>
    </row>
    <row r="21" spans="1:8" x14ac:dyDescent="0.25">
      <c r="A21">
        <f>COUNTIF($B$2:$B$375,B21)</f>
        <v>1</v>
      </c>
      <c r="B21" t="str">
        <f>[1]!Numerize(MID(H21,FIND("=",H21),10))</f>
        <v>9567</v>
      </c>
      <c r="C21" t="str">
        <f t="shared" si="0"/>
        <v>S10</v>
      </c>
      <c r="E21" t="str">
        <f>[1]!RegExpSubstitute(MID(H21,FIND("- ",H21)+2,FIND("- ",H21,FIND("- ",H21)+1)-FIND("- ",H21)-2),"\&amp;quot\;.*\&amp;quot\;\W","")</f>
        <v xml:space="preserve">Buzz Swaggerty </v>
      </c>
      <c r="G21">
        <f t="shared" si="1"/>
        <v>50</v>
      </c>
      <c r="H21" t="s">
        <v>56</v>
      </c>
    </row>
    <row r="22" spans="1:8" x14ac:dyDescent="0.25">
      <c r="A22">
        <f>COUNTIF($B$2:$B$375,B22)</f>
        <v>1</v>
      </c>
      <c r="B22" t="str">
        <f>[1]!Numerize(MID(H22,FIND("=",H22),10))</f>
        <v>9383</v>
      </c>
      <c r="C22" t="str">
        <f t="shared" si="0"/>
        <v>S10</v>
      </c>
      <c r="E22" t="str">
        <f>[1]!RegExpSubstitute(MID(H22,FIND("- ",H22)+2,FIND("- ",H22,FIND("- ",H22)+1)-FIND("- ",H22)-2),"\&amp;quot\;.*\&amp;quot\;\W","")</f>
        <v xml:space="preserve">Chris Orosz </v>
      </c>
      <c r="G22">
        <f t="shared" si="1"/>
        <v>461</v>
      </c>
      <c r="H22" t="s">
        <v>331</v>
      </c>
    </row>
    <row r="23" spans="1:8" x14ac:dyDescent="0.25">
      <c r="A23">
        <f>COUNTIF($B$2:$B$375,B23)</f>
        <v>1</v>
      </c>
      <c r="B23" t="str">
        <f>[1]!Numerize(MID(H23,FIND("=",H23),10))</f>
        <v>9228</v>
      </c>
      <c r="C23" t="str">
        <f t="shared" si="0"/>
        <v>S10</v>
      </c>
      <c r="E23" t="str">
        <f>[1]!RegExpSubstitute(MID(H23,FIND("- ",H23)+2,FIND("- ",H23,FIND("- ",H23)+1)-FIND("- ",H23)-2),"\&amp;quot\;.*\&amp;quot\;\W","")</f>
        <v xml:space="preserve">Con Nair </v>
      </c>
      <c r="G23">
        <f t="shared" si="1"/>
        <v>50</v>
      </c>
      <c r="H23" t="s">
        <v>172</v>
      </c>
    </row>
    <row r="24" spans="1:8" x14ac:dyDescent="0.25">
      <c r="A24">
        <f>COUNTIF($B$2:$B$375,B24)</f>
        <v>1</v>
      </c>
      <c r="B24" t="str">
        <f>[1]!Numerize(MID(H24,FIND("=",H24),10))</f>
        <v>9461</v>
      </c>
      <c r="C24" t="str">
        <f t="shared" si="0"/>
        <v>S10</v>
      </c>
      <c r="E24" t="str">
        <f>[1]!RegExpSubstitute(MID(H24,FIND("- ",H24)+2,FIND("- ",H24,FIND("- ",H24)+1)-FIND("- ",H24)-2),"\&amp;quot\;.*\&amp;quot\;\W","")</f>
        <v xml:space="preserve">Damien Arnold </v>
      </c>
      <c r="G24">
        <f t="shared" si="1"/>
        <v>279</v>
      </c>
      <c r="H24" t="s">
        <v>273</v>
      </c>
    </row>
    <row r="25" spans="1:8" x14ac:dyDescent="0.25">
      <c r="A25">
        <f>COUNTIF($B$2:$B$375,B25)</f>
        <v>1</v>
      </c>
      <c r="B25" t="str">
        <f>[1]!Numerize(MID(H25,FIND("=",H25),10))</f>
        <v>9290</v>
      </c>
      <c r="C25" t="str">
        <f t="shared" si="0"/>
        <v>S10</v>
      </c>
      <c r="E25" t="str">
        <f>[1]!RegExpSubstitute(MID(H25,FIND("- ",H25)+2,FIND("- ",H25,FIND("- ",H25)+1)-FIND("- ",H25)-2),"\&amp;quot\;.*\&amp;quot\;\W","")</f>
        <v xml:space="preserve">Danny Grithead </v>
      </c>
      <c r="G25">
        <f t="shared" si="1"/>
        <v>979</v>
      </c>
      <c r="H25" t="s">
        <v>291</v>
      </c>
    </row>
    <row r="26" spans="1:8" x14ac:dyDescent="0.25">
      <c r="A26">
        <f>COUNTIF($B$2:$B$375,B26)</f>
        <v>1</v>
      </c>
      <c r="B26" t="str">
        <f>[1]!Numerize(MID(H26,FIND("=",H26),10))</f>
        <v>9786</v>
      </c>
      <c r="C26" t="str">
        <f t="shared" si="0"/>
        <v>S10</v>
      </c>
      <c r="E26" t="str">
        <f>[1]!RegExpSubstitute(MID(H26,FIND("- ",H26)+2,FIND("- ",H26,FIND("- ",H26)+1)-FIND("- ",H26)-2),"\&amp;quot\;.*\&amp;quot\;\W","")</f>
        <v xml:space="preserve">Devo Cansino </v>
      </c>
      <c r="G26">
        <f t="shared" si="1"/>
        <v>323</v>
      </c>
      <c r="H26" t="s">
        <v>226</v>
      </c>
    </row>
    <row r="27" spans="1:8" x14ac:dyDescent="0.25">
      <c r="A27">
        <f>COUNTIF($B$2:$B$375,B27)</f>
        <v>1</v>
      </c>
      <c r="B27" t="str">
        <f>[1]!Numerize(MID(H27,FIND("=",H27),10))</f>
        <v>9381</v>
      </c>
      <c r="C27" t="str">
        <f t="shared" si="0"/>
        <v>S10</v>
      </c>
      <c r="E27" t="str">
        <f>[1]!RegExpSubstitute(MID(H27,FIND("- ",H27)+2,FIND("- ",H27,FIND("- ",H27)+1)-FIND("- ",H27)-2),"\&amp;quot\;.*\&amp;quot\;\W","")</f>
        <v xml:space="preserve">D'Pez Poopsie </v>
      </c>
      <c r="G27">
        <f t="shared" si="1"/>
        <v>982</v>
      </c>
      <c r="H27" t="s">
        <v>332</v>
      </c>
    </row>
    <row r="28" spans="1:8" x14ac:dyDescent="0.25">
      <c r="A28">
        <f>COUNTIF($B$2:$B$375,B28)</f>
        <v>1</v>
      </c>
      <c r="B28" t="str">
        <f>[1]!Numerize(MID(H28,FIND("=",H28),10))</f>
        <v>9469</v>
      </c>
      <c r="C28" t="str">
        <f t="shared" si="0"/>
        <v>S10</v>
      </c>
      <c r="E28" t="str">
        <f>[1]!RegExpSubstitute(MID(H28,FIND("- ",H28)+2,FIND("- ",H28,FIND("- ",H28)+1)-FIND("- ",H28)-2),"\&amp;quot\;.*\&amp;quot\;\W","")</f>
        <v xml:space="preserve">Emilia Rudd </v>
      </c>
      <c r="G28">
        <f t="shared" si="1"/>
        <v>153</v>
      </c>
      <c r="H28" t="s">
        <v>186</v>
      </c>
    </row>
    <row r="29" spans="1:8" x14ac:dyDescent="0.25">
      <c r="A29">
        <f>COUNTIF($B$2:$B$375,B29)</f>
        <v>1</v>
      </c>
      <c r="B29" t="str">
        <f>[1]!Numerize(MID(H29,FIND("=",H29),10))</f>
        <v>9243</v>
      </c>
      <c r="C29" t="str">
        <f t="shared" si="0"/>
        <v>S10</v>
      </c>
      <c r="E29" t="str">
        <f>[1]!RegExpSubstitute(MID(H29,FIND("- ",H29)+2,FIND("- ",H29,FIND("- ",H29)+1)-FIND("- ",H29)-2),"\&amp;quot\;.*\&amp;quot\;\W","")</f>
        <v xml:space="preserve">Felix Hasselhoff </v>
      </c>
      <c r="G29">
        <f t="shared" si="1"/>
        <v>338</v>
      </c>
      <c r="H29" t="s">
        <v>189</v>
      </c>
    </row>
    <row r="30" spans="1:8" x14ac:dyDescent="0.25">
      <c r="A30">
        <f>COUNTIF($B$2:$B$375,B30)</f>
        <v>1</v>
      </c>
      <c r="B30" t="str">
        <f>[1]!Numerize(MID(H30,FIND("=",H30),10))</f>
        <v>9820</v>
      </c>
      <c r="C30" t="str">
        <f t="shared" si="0"/>
        <v>S10</v>
      </c>
      <c r="E30" t="str">
        <f>[1]!RegExpSubstitute(MID(H30,FIND("- ",H30)+2,FIND("- ",H30,FIND("- ",H30)+1)-FIND("- ",H30)-2),"\&amp;quot\;.*\&amp;quot\;\W","")</f>
        <v xml:space="preserve">Frank Fort </v>
      </c>
      <c r="G30">
        <f t="shared" si="1"/>
        <v>96</v>
      </c>
      <c r="H30" t="s">
        <v>312</v>
      </c>
    </row>
    <row r="31" spans="1:8" x14ac:dyDescent="0.25">
      <c r="A31">
        <f>COUNTIF($B$2:$B$375,B31)</f>
        <v>1</v>
      </c>
      <c r="B31" t="str">
        <f>[1]!Numerize(MID(H31,FIND("=",H31),10))</f>
        <v>9637</v>
      </c>
      <c r="C31" t="str">
        <f t="shared" si="0"/>
        <v>S10</v>
      </c>
      <c r="E31" t="str">
        <f>[1]!RegExpSubstitute(MID(H31,FIND("- ",H31)+2,FIND("- ",H31,FIND("- ",H31)+1)-FIND("- ",H31)-2),"\&amp;quot\;.*\&amp;quot\;\W","")</f>
        <v xml:space="preserve">Jake Verden </v>
      </c>
      <c r="G31">
        <f t="shared" si="1"/>
        <v>138</v>
      </c>
      <c r="H31" t="s">
        <v>30</v>
      </c>
    </row>
    <row r="32" spans="1:8" x14ac:dyDescent="0.25">
      <c r="A32">
        <f>COUNTIF($B$2:$B$375,B32)</f>
        <v>1</v>
      </c>
      <c r="B32" t="str">
        <f>[1]!Numerize(MID(H32,FIND("=",H32),10))</f>
        <v>9189</v>
      </c>
      <c r="C32" t="str">
        <f t="shared" si="0"/>
        <v>S10</v>
      </c>
      <c r="E32" t="str">
        <f>[1]!RegExpSubstitute(MID(H32,FIND("- ",H32)+2,FIND("- ",H32,FIND("- ",H32)+1)-FIND("- ",H32)-2),"\&amp;quot\;.*\&amp;quot\;\W","")</f>
        <v xml:space="preserve">Joliet L. Christ </v>
      </c>
      <c r="G32">
        <f t="shared" si="1"/>
        <v>845</v>
      </c>
      <c r="H32" t="s">
        <v>334</v>
      </c>
    </row>
    <row r="33" spans="1:8" x14ac:dyDescent="0.25">
      <c r="A33">
        <f>COUNTIF($B$2:$B$375,B33)</f>
        <v>1</v>
      </c>
      <c r="B33" t="str">
        <f>[1]!Numerize(MID(H33,FIND("=",H33),10))</f>
        <v>9512</v>
      </c>
      <c r="C33" t="str">
        <f t="shared" si="0"/>
        <v>S10</v>
      </c>
      <c r="E33" t="str">
        <f>[1]!RegExpSubstitute(MID(H33,FIND("- ",H33)+2,FIND("- ",H33,FIND("- ",H33)+1)-FIND("- ",H33)-2),"\&amp;quot\;.*\&amp;quot\;\W","")</f>
        <v xml:space="preserve">Jordan von Matt </v>
      </c>
      <c r="G33">
        <f t="shared" si="1"/>
        <v>716</v>
      </c>
      <c r="H33" t="s">
        <v>313</v>
      </c>
    </row>
    <row r="34" spans="1:8" x14ac:dyDescent="0.25">
      <c r="A34">
        <f>COUNTIF($B$2:$B$375,B34)</f>
        <v>1</v>
      </c>
      <c r="B34" t="str">
        <f>[1]!Numerize(MID(H34,FIND("=",H34),10))</f>
        <v>9239</v>
      </c>
      <c r="C34" t="str">
        <f t="shared" si="0"/>
        <v>S10</v>
      </c>
      <c r="E34" t="str">
        <f>[1]!RegExpSubstitute(MID(H34,FIND("- ",H34)+2,FIND("- ",H34,FIND("- ",H34)+1)-FIND("- ",H34)-2),"\&amp;quot\;.*\&amp;quot\;\W","")</f>
        <v xml:space="preserve">Kazimir Oles </v>
      </c>
      <c r="G34">
        <f t="shared" si="1"/>
        <v>950</v>
      </c>
      <c r="H34" t="s">
        <v>333</v>
      </c>
    </row>
    <row r="35" spans="1:8" x14ac:dyDescent="0.25">
      <c r="A35">
        <f>COUNTIF($B$2:$B$375,B35)</f>
        <v>1</v>
      </c>
      <c r="B35" t="str">
        <f>[1]!Numerize(MID(H35,FIND("=",H35),10))</f>
        <v>9730</v>
      </c>
      <c r="C35" t="str">
        <f t="shared" si="0"/>
        <v>S10</v>
      </c>
      <c r="E35" t="str">
        <f>[1]!RegExpSubstitute(MID(H35,FIND("- ",H35)+2,FIND("- ",H35,FIND("- ",H35)+1)-FIND("- ",H35)-2),"\&amp;quot\;.*\&amp;quot\;\W","")</f>
        <v xml:space="preserve">Lanoi Arnold </v>
      </c>
      <c r="G35">
        <f t="shared" si="1"/>
        <v>50</v>
      </c>
      <c r="H35" t="s">
        <v>170</v>
      </c>
    </row>
    <row r="36" spans="1:8" x14ac:dyDescent="0.25">
      <c r="A36">
        <f>COUNTIF($B$2:$B$375,B36)</f>
        <v>1</v>
      </c>
      <c r="B36" t="str">
        <f>[1]!Numerize(MID(H36,FIND("=",H36),10))</f>
        <v>9453</v>
      </c>
      <c r="C36" t="str">
        <f t="shared" si="0"/>
        <v>S10</v>
      </c>
      <c r="E36" t="str">
        <f>[1]!RegExpSubstitute(MID(H36,FIND("- ",H36)+2,FIND("- ",H36,FIND("- ",H36)+1)-FIND("- ",H36)-2),"\&amp;quot\;.*\&amp;quot\;\W","")</f>
        <v xml:space="preserve">Lo Rax </v>
      </c>
      <c r="G36">
        <f t="shared" si="1"/>
        <v>691</v>
      </c>
      <c r="H36" t="s">
        <v>272</v>
      </c>
    </row>
    <row r="37" spans="1:8" x14ac:dyDescent="0.25">
      <c r="A37">
        <f>COUNTIF($B$2:$B$375,B37)</f>
        <v>1</v>
      </c>
      <c r="B37" t="str">
        <f>[1]!Numerize(MID(H37,FIND("=",H37),10))</f>
        <v>9229</v>
      </c>
      <c r="C37" t="str">
        <f t="shared" si="0"/>
        <v>S10</v>
      </c>
      <c r="E37" t="str">
        <f>[1]!RegExpSubstitute(MID(H37,FIND("- ",H37)+2,FIND("- ",H37,FIND("- ",H37)+1)-FIND("- ",H37)-2),"\&amp;quot\;.*\&amp;quot\;\W","")</f>
        <v xml:space="preserve">Lucari Felix </v>
      </c>
      <c r="G37">
        <f t="shared" si="1"/>
        <v>468</v>
      </c>
      <c r="H37" t="s">
        <v>315</v>
      </c>
    </row>
    <row r="38" spans="1:8" x14ac:dyDescent="0.25">
      <c r="A38">
        <f>COUNTIF($B$2:$B$375,B38)</f>
        <v>1</v>
      </c>
      <c r="B38" t="str">
        <f>[1]!Numerize(MID(H38,FIND("=",H38),10))</f>
        <v>9401</v>
      </c>
      <c r="C38" t="str">
        <f t="shared" si="0"/>
        <v>S10</v>
      </c>
      <c r="E38" t="str">
        <f>[1]!RegExpSubstitute(MID(H38,FIND("- ",H38)+2,FIND("- ",H38,FIND("- ",H38)+1)-FIND("- ",H38)-2),"\&amp;quot\;.*\&amp;quot\;\W","")</f>
        <v xml:space="preserve">Odell Marrett </v>
      </c>
      <c r="G38">
        <f t="shared" si="1"/>
        <v>97</v>
      </c>
      <c r="H38" t="s">
        <v>227</v>
      </c>
    </row>
    <row r="39" spans="1:8" x14ac:dyDescent="0.25">
      <c r="A39">
        <f>COUNTIF($B$2:$B$375,B39)</f>
        <v>1</v>
      </c>
      <c r="B39" t="str">
        <f>[1]!Numerize(MID(H39,FIND("=",H39),10))</f>
        <v>9726</v>
      </c>
      <c r="C39" t="str">
        <f t="shared" si="0"/>
        <v>S10</v>
      </c>
      <c r="E39" t="str">
        <f>[1]!RegExpSubstitute(MID(H39,FIND("- ",H39)+2,FIND("- ",H39,FIND("- ",H39)+1)-FIND("- ",H39)-2),"\&amp;quot\;.*\&amp;quot\;\W","")</f>
        <v xml:space="preserve">Ray Slick </v>
      </c>
      <c r="G39">
        <f t="shared" si="1"/>
        <v>57</v>
      </c>
      <c r="H39" t="s">
        <v>243</v>
      </c>
    </row>
    <row r="40" spans="1:8" x14ac:dyDescent="0.25">
      <c r="A40">
        <f>COUNTIF($B$2:$B$375,B40)</f>
        <v>1</v>
      </c>
      <c r="B40" t="str">
        <f>[1]!Numerize(MID(H40,FIND("=",H40),10))</f>
        <v>9504</v>
      </c>
      <c r="C40" t="str">
        <f t="shared" si="0"/>
        <v>S10</v>
      </c>
      <c r="E40" t="str">
        <f>[1]!RegExpSubstitute(MID(H40,FIND("- ",H40)+2,FIND("- ",H40,FIND("- ",H40)+1)-FIND("- ",H40)-2),"\&amp;quot\;.*\&amp;quot\;\W","")</f>
        <v xml:space="preserve">Ricky Flores </v>
      </c>
      <c r="G40">
        <f t="shared" si="1"/>
        <v>90</v>
      </c>
      <c r="H40" t="s">
        <v>245</v>
      </c>
    </row>
    <row r="41" spans="1:8" x14ac:dyDescent="0.25">
      <c r="A41">
        <f>COUNTIF($B$2:$B$375,B41)</f>
        <v>1</v>
      </c>
      <c r="B41" t="str">
        <f>[1]!Numerize(MID(H41,FIND("=",H41),10))</f>
        <v>9406</v>
      </c>
      <c r="C41" t="str">
        <f t="shared" si="0"/>
        <v>S10</v>
      </c>
      <c r="E41" t="str">
        <f>[1]!RegExpSubstitute(MID(H41,FIND("- ",H41)+2,FIND("- ",H41,FIND("- ",H41)+1)-FIND("- ",H41)-2),"\&amp;quot\;.*\&amp;quot\;\W","")</f>
        <v xml:space="preserve">Ryland Morley </v>
      </c>
      <c r="G41">
        <f t="shared" si="1"/>
        <v>90</v>
      </c>
      <c r="H41" t="s">
        <v>314</v>
      </c>
    </row>
    <row r="42" spans="1:8" x14ac:dyDescent="0.25">
      <c r="A42">
        <f>COUNTIF($B$2:$B$375,B42)</f>
        <v>1</v>
      </c>
      <c r="B42" t="str">
        <f>[1]!Numerize(MID(H42,FIND("=",H42),10))</f>
        <v>9741</v>
      </c>
      <c r="C42" t="str">
        <f t="shared" si="0"/>
        <v>S10</v>
      </c>
      <c r="E42" t="str">
        <f>[1]!RegExpSubstitute(MID(H42,FIND("- ",H42)+2,FIND("- ",H42,FIND("- ",H42)+1)-FIND("- ",H42)-2),"\&amp;quot\;.*\&amp;quot\;\W","")</f>
        <v xml:space="preserve">Seer Zephyrous </v>
      </c>
      <c r="G42">
        <f t="shared" si="1"/>
        <v>382</v>
      </c>
      <c r="H42" t="s">
        <v>290</v>
      </c>
    </row>
    <row r="43" spans="1:8" x14ac:dyDescent="0.25">
      <c r="A43">
        <f>COUNTIF($B$2:$B$375,B43)</f>
        <v>1</v>
      </c>
      <c r="B43" t="str">
        <f>[1]!Numerize(MID(H43,FIND("=",H43),10))</f>
        <v>9349</v>
      </c>
      <c r="C43" t="str">
        <f t="shared" si="0"/>
        <v>S10</v>
      </c>
      <c r="E43" t="str">
        <f>[1]!RegExpSubstitute(MID(H43,FIND("- ",H43)+2,FIND("- ",H43,FIND("- ",H43)+1)-FIND("- ",H43)-2),"\&amp;quot\;.*\&amp;quot\;\W","")</f>
        <v xml:space="preserve">Shannon Hobbs </v>
      </c>
      <c r="G43">
        <f t="shared" si="1"/>
        <v>334</v>
      </c>
      <c r="H43" t="s">
        <v>188</v>
      </c>
    </row>
    <row r="44" spans="1:8" x14ac:dyDescent="0.25">
      <c r="A44">
        <f>COUNTIF($B$2:$B$375,B44)</f>
        <v>1</v>
      </c>
      <c r="B44" t="str">
        <f>[1]!Numerize(MID(H44,FIND("=",H44),10))</f>
        <v>9412</v>
      </c>
      <c r="C44" t="str">
        <f t="shared" si="0"/>
        <v>S10</v>
      </c>
      <c r="E44" t="str">
        <f>[1]!RegExpSubstitute(MID(H44,FIND("- ",H44)+2,FIND("- ",H44,FIND("- ",H44)+1)-FIND("- ",H44)-2),"\&amp;quot\;.*\&amp;quot\;\W","")</f>
        <v xml:space="preserve">Steven Oats </v>
      </c>
      <c r="G44">
        <f t="shared" si="1"/>
        <v>395</v>
      </c>
      <c r="H44" t="s">
        <v>206</v>
      </c>
    </row>
    <row r="45" spans="1:8" x14ac:dyDescent="0.25">
      <c r="A45">
        <f>COUNTIF($B$2:$B$375,B45)</f>
        <v>1</v>
      </c>
      <c r="B45" t="str">
        <f>[1]!Numerize(MID(H45,FIND("=",H45),10))</f>
        <v>9325</v>
      </c>
      <c r="C45" t="str">
        <f t="shared" si="0"/>
        <v>S10</v>
      </c>
      <c r="E45" t="str">
        <f>[1]!RegExpSubstitute(MID(H45,FIND("- ",H45)+2,FIND("- ",H45,FIND("- ",H45)+1)-FIND("- ",H45)-2),"\&amp;quot\;.*\&amp;quot\;\W","")</f>
        <v xml:space="preserve">Tanner Hendrix </v>
      </c>
      <c r="G45">
        <f t="shared" si="1"/>
        <v>90</v>
      </c>
      <c r="H45" t="s">
        <v>171</v>
      </c>
    </row>
    <row r="46" spans="1:8" x14ac:dyDescent="0.25">
      <c r="A46">
        <f>COUNTIF($B$2:$B$375,B46)</f>
        <v>1</v>
      </c>
      <c r="B46" t="str">
        <f>[1]!Numerize(MID(H46,FIND("=",H46),10))</f>
        <v>9321</v>
      </c>
      <c r="C46" t="str">
        <f t="shared" si="0"/>
        <v>S10</v>
      </c>
      <c r="E46" t="str">
        <f>[1]!RegExpSubstitute(MID(H46,FIND("- ",H46)+2,FIND("- ",H46,FIND("- ",H46)+1)-FIND("- ",H46)-2),"\&amp;quot\;.*\&amp;quot\;\W","")</f>
        <v xml:space="preserve">Taylor Peterson </v>
      </c>
      <c r="G46">
        <f t="shared" si="1"/>
        <v>108</v>
      </c>
      <c r="H46" t="s">
        <v>247</v>
      </c>
    </row>
    <row r="47" spans="1:8" x14ac:dyDescent="0.25">
      <c r="A47">
        <f>COUNTIF($B$2:$B$375,B47)</f>
        <v>1</v>
      </c>
      <c r="B47" t="str">
        <f>[1]!Numerize(MID(H47,FIND("=",H47),10))</f>
        <v>9568</v>
      </c>
      <c r="C47" t="str">
        <f t="shared" si="0"/>
        <v>S10</v>
      </c>
      <c r="E47" t="str">
        <f>[1]!RegExpSubstitute(MID(H47,FIND("- ",H47)+2,FIND("- ",H47,FIND("- ",H47)+1)-FIND("- ",H47)-2),"\&amp;quot\;.*\&amp;quot\;\W","")</f>
        <v xml:space="preserve">Trey Westfield </v>
      </c>
      <c r="G47">
        <f t="shared" si="1"/>
        <v>50</v>
      </c>
      <c r="H47" t="s">
        <v>55</v>
      </c>
    </row>
    <row r="48" spans="1:8" x14ac:dyDescent="0.25">
      <c r="A48">
        <f>COUNTIF($B$2:$B$375,B48)</f>
        <v>1</v>
      </c>
      <c r="B48" t="str">
        <f>[1]!Numerize(MID(H48,FIND("=",H48),10))</f>
        <v>9797</v>
      </c>
      <c r="C48" t="str">
        <f t="shared" si="0"/>
        <v>S10</v>
      </c>
      <c r="E48" t="str">
        <f>[1]!RegExpSubstitute(MID(H48,FIND("- ",H48)+2,FIND("- ",H48,FIND("- ",H48)+1)-FIND("- ",H48)-2),"\&amp;quot\;.*\&amp;quot\;\W","")</f>
        <v xml:space="preserve">True Pierce </v>
      </c>
      <c r="G48">
        <f t="shared" si="1"/>
        <v>76</v>
      </c>
      <c r="H48" t="s">
        <v>378</v>
      </c>
    </row>
    <row r="49" spans="1:8" x14ac:dyDescent="0.25">
      <c r="A49">
        <f>COUNTIF($B$2:$B$375,B49)</f>
        <v>1</v>
      </c>
      <c r="B49" t="str">
        <f>[1]!Numerize(MID(H49,FIND("=",H49),10))</f>
        <v>9472</v>
      </c>
      <c r="C49" t="str">
        <f t="shared" si="0"/>
        <v>S10</v>
      </c>
      <c r="E49" t="str">
        <f>[1]!RegExpSubstitute(MID(H49,FIND("- ",H49)+2,FIND("- ",H49,FIND("- ",H49)+1)-FIND("- ",H49)-2),"\&amp;quot\;.*\&amp;quot\;\W","")</f>
        <v xml:space="preserve">Xandra Troyski </v>
      </c>
      <c r="G49">
        <f t="shared" si="1"/>
        <v>697</v>
      </c>
      <c r="H49" t="s">
        <v>330</v>
      </c>
    </row>
    <row r="50" spans="1:8" x14ac:dyDescent="0.25">
      <c r="A50">
        <f>COUNTIF($B$2:$B$375,B50)</f>
        <v>1</v>
      </c>
      <c r="B50" t="str">
        <f>[1]!Numerize(MID(H50,FIND("=",H50),10))</f>
        <v>9364</v>
      </c>
      <c r="C50" t="str">
        <f t="shared" si="0"/>
        <v>S10</v>
      </c>
      <c r="E50" t="str">
        <f>[1]!RegExpSubstitute(MID(H50,FIND("- ",H50)+2,FIND("- ",H50,FIND("- ",H50)+1)-FIND("- ",H50)-2),"\&amp;quot\;.*\&amp;quot\;\W","")</f>
        <v xml:space="preserve">Zenyou Wozy </v>
      </c>
      <c r="G50">
        <f t="shared" si="1"/>
        <v>358</v>
      </c>
      <c r="H50" t="s">
        <v>246</v>
      </c>
    </row>
    <row r="51" spans="1:8" x14ac:dyDescent="0.25">
      <c r="A51">
        <f>COUNTIF($B$2:$B$375,B51)</f>
        <v>1</v>
      </c>
      <c r="B51" t="str">
        <f>[1]!Numerize(MID(H51,FIND("=",H51),10))</f>
        <v>10446</v>
      </c>
      <c r="C51" t="str">
        <f t="shared" si="0"/>
        <v>S11</v>
      </c>
      <c r="E51" t="str">
        <f>[1]!RegExpSubstitute(MID(H51,FIND("- ",H51)+2,FIND("- ",H51,FIND("- ",H51)+1)-FIND("- ",H51)-2),"\&amp;quot\;.*\&amp;quot\;\W","")</f>
        <v xml:space="preserve">Ace Boogie Jr. </v>
      </c>
      <c r="G51">
        <f t="shared" si="1"/>
        <v>62</v>
      </c>
      <c r="H51" t="s">
        <v>29</v>
      </c>
    </row>
    <row r="52" spans="1:8" x14ac:dyDescent="0.25">
      <c r="A52">
        <f>COUNTIF($B$2:$B$375,B52)</f>
        <v>1</v>
      </c>
      <c r="B52" t="str">
        <f>[1]!Numerize(MID(H52,FIND("=",H52),10))</f>
        <v>9830</v>
      </c>
      <c r="C52" t="str">
        <f t="shared" si="0"/>
        <v>S11</v>
      </c>
      <c r="E52" t="str">
        <f>[1]!RegExpSubstitute(MID(H52,FIND("- ",H52)+2,FIND("- ",H52,FIND("- ",H52)+1)-FIND("- ",H52)-2),"\&amp;quot\;.*\&amp;quot\;\W","")</f>
        <v xml:space="preserve">Adrian Pitcher </v>
      </c>
      <c r="G52">
        <f t="shared" si="1"/>
        <v>176</v>
      </c>
      <c r="H52" t="s">
        <v>352</v>
      </c>
    </row>
    <row r="53" spans="1:8" x14ac:dyDescent="0.25">
      <c r="A53">
        <f>COUNTIF($B$2:$B$375,B53)</f>
        <v>1</v>
      </c>
      <c r="B53" t="str">
        <f>[1]!Numerize(MID(H53,FIND("=",H53),10))</f>
        <v>9833</v>
      </c>
      <c r="C53" t="str">
        <f t="shared" si="0"/>
        <v>S11</v>
      </c>
      <c r="E53" t="str">
        <f>[1]!RegExpSubstitute(MID(H53,FIND("- ",H53)+2,FIND("- ",H53,FIND("- ",H53)+1)-FIND("- ",H53)-2),"\&amp;quot\;.*\&amp;quot\;\W","")</f>
        <v xml:space="preserve">Alex Selich </v>
      </c>
      <c r="G53">
        <f t="shared" si="1"/>
        <v>672</v>
      </c>
      <c r="H53" t="s">
        <v>353</v>
      </c>
    </row>
    <row r="54" spans="1:8" x14ac:dyDescent="0.25">
      <c r="A54">
        <f>COUNTIF($B$2:$B$375,B54)</f>
        <v>1</v>
      </c>
      <c r="B54" t="str">
        <f>[1]!Numerize(MID(H54,FIND("=",H54),10))</f>
        <v>9986</v>
      </c>
      <c r="C54" t="str">
        <f t="shared" si="0"/>
        <v>S11</v>
      </c>
      <c r="E54" t="str">
        <f>[1]!RegExpSubstitute(MID(H54,FIND("- ",H54)+2,FIND("- ",H54,FIND("- ",H54)+1)-FIND("- ",H54)-2),"\&amp;quot\;.*\&amp;quot\;\W","")</f>
        <v xml:space="preserve">Andrew Reese </v>
      </c>
      <c r="G54">
        <f t="shared" si="1"/>
        <v>741</v>
      </c>
      <c r="H54" t="s">
        <v>184</v>
      </c>
    </row>
    <row r="55" spans="1:8" x14ac:dyDescent="0.25">
      <c r="A55">
        <f>COUNTIF($B$2:$B$375,B55)</f>
        <v>1</v>
      </c>
      <c r="B55" t="str">
        <f>[1]!Numerize(MID(H55,FIND("=",H55),10))</f>
        <v>10072</v>
      </c>
      <c r="C55" t="str">
        <f t="shared" si="0"/>
        <v>S11</v>
      </c>
      <c r="E55" t="str">
        <f>[1]!RegExpSubstitute(MID(H55,FIND("- ",H55)+2,FIND("- ",H55,FIND("- ",H55)+1)-FIND("- ",H55)-2),"\&amp;quot\;.*\&amp;quot\;\W","")</f>
        <v xml:space="preserve">Berrell Trister </v>
      </c>
      <c r="G55">
        <f t="shared" si="1"/>
        <v>67</v>
      </c>
      <c r="H55" t="s">
        <v>169</v>
      </c>
    </row>
    <row r="56" spans="1:8" x14ac:dyDescent="0.25">
      <c r="A56">
        <f>COUNTIF($B$2:$B$375,B56)</f>
        <v>1</v>
      </c>
      <c r="B56" t="str">
        <f>[1]!Numerize(MID(H56,FIND("=",H56),10))</f>
        <v>9836</v>
      </c>
      <c r="C56" t="str">
        <f t="shared" si="0"/>
        <v>S11</v>
      </c>
      <c r="E56" t="str">
        <f>[1]!RegExpSubstitute(MID(H56,FIND("- ",H56)+2,FIND("- ",H56,FIND("- ",H56)+1)-FIND("- ",H56)-2),"\&amp;quot\;.*\&amp;quot\;\W","")</f>
        <v xml:space="preserve">Blake Bishop </v>
      </c>
      <c r="G56">
        <f t="shared" si="1"/>
        <v>50</v>
      </c>
      <c r="H56" t="s">
        <v>241</v>
      </c>
    </row>
    <row r="57" spans="1:8" x14ac:dyDescent="0.25">
      <c r="A57">
        <f>COUNTIF($B$2:$B$375,B57)</f>
        <v>1</v>
      </c>
      <c r="B57" t="str">
        <f>[1]!Numerize(MID(H57,FIND("=",H57),10))</f>
        <v>10092</v>
      </c>
      <c r="C57" t="str">
        <f t="shared" si="0"/>
        <v>S11</v>
      </c>
      <c r="E57" t="str">
        <f>[1]!RegExpSubstitute(MID(H57,FIND("- ",H57)+2,FIND("- ",H57,FIND("- ",H57)+1)-FIND("- ",H57)-2),"\&amp;quot\;.*\&amp;quot\;\W","")</f>
        <v xml:space="preserve">Bobson Dugnutt </v>
      </c>
      <c r="G57">
        <f t="shared" si="1"/>
        <v>345</v>
      </c>
      <c r="H57" t="s">
        <v>350</v>
      </c>
    </row>
    <row r="58" spans="1:8" x14ac:dyDescent="0.25">
      <c r="A58">
        <f>COUNTIF($B$2:$B$375,B58)</f>
        <v>1</v>
      </c>
      <c r="B58" t="str">
        <f>[1]!Numerize(MID(H58,FIND("=",H58),10))</f>
        <v>10046</v>
      </c>
      <c r="C58" t="str">
        <f t="shared" si="0"/>
        <v>S11</v>
      </c>
      <c r="E58" t="str">
        <f>[1]!RegExpSubstitute(MID(H58,FIND("- ",H58)+2,FIND("- ",H58,FIND("- ",H58)+1)-FIND("- ",H58)-2),"\&amp;quot\;.*\&amp;quot\;\W","")</f>
        <v xml:space="preserve">Clark Kent </v>
      </c>
      <c r="G58">
        <f t="shared" si="1"/>
        <v>81</v>
      </c>
      <c r="H58" t="s">
        <v>138</v>
      </c>
    </row>
    <row r="59" spans="1:8" x14ac:dyDescent="0.25">
      <c r="A59">
        <f>COUNTIF($B$2:$B$375,B59)</f>
        <v>1</v>
      </c>
      <c r="B59" t="str">
        <f>[1]!Numerize(MID(H59,FIND("=",H59),10))</f>
        <v>10121</v>
      </c>
      <c r="C59" t="str">
        <f t="shared" si="0"/>
        <v>S11</v>
      </c>
      <c r="E59" t="str">
        <f>[1]!RegExpSubstitute(MID(H59,FIND("- ",H59)+2,FIND("- ",H59,FIND("- ",H59)+1)-FIND("- ",H59)-2),"\&amp;quot\;.*\&amp;quot\;\W","")</f>
        <v xml:space="preserve">Curtis Saul </v>
      </c>
      <c r="G59">
        <f t="shared" si="1"/>
        <v>453</v>
      </c>
      <c r="H59" t="s">
        <v>309</v>
      </c>
    </row>
    <row r="60" spans="1:8" x14ac:dyDescent="0.25">
      <c r="A60">
        <f>COUNTIF($B$2:$B$375,B60)</f>
        <v>1</v>
      </c>
      <c r="B60" t="str">
        <f>[1]!Numerize(MID(H60,FIND("=",H60),10))</f>
        <v>10056</v>
      </c>
      <c r="C60" t="str">
        <f t="shared" si="0"/>
        <v>S11</v>
      </c>
      <c r="E60" t="str">
        <f>[1]!RegExpSubstitute(MID(H60,FIND("- ",H60)+2,FIND("- ",H60,FIND("- ",H60)+1)-FIND("- ",H60)-2),"\&amp;quot\;.*\&amp;quot\;\W","")</f>
        <v xml:space="preserve">Dan Schneider </v>
      </c>
      <c r="G60">
        <f t="shared" si="1"/>
        <v>662</v>
      </c>
      <c r="H60" t="s">
        <v>286</v>
      </c>
    </row>
    <row r="61" spans="1:8" x14ac:dyDescent="0.25">
      <c r="A61">
        <f>COUNTIF($B$2:$B$375,B61)</f>
        <v>1</v>
      </c>
      <c r="B61" t="str">
        <f>[1]!Numerize(MID(H61,FIND("=",H61),10))</f>
        <v>10052</v>
      </c>
      <c r="C61" t="str">
        <f t="shared" si="0"/>
        <v>S11</v>
      </c>
      <c r="E61" t="str">
        <f>[1]!RegExpSubstitute(MID(H61,FIND("- ",H61)+2,FIND("- ",H61,FIND("- ",H61)+1)-FIND("- ",H61)-2),"\&amp;quot\;.*\&amp;quot\;\W","")</f>
        <v xml:space="preserve">Danny Methane </v>
      </c>
      <c r="G61">
        <f t="shared" si="1"/>
        <v>216</v>
      </c>
      <c r="H61" t="s">
        <v>328</v>
      </c>
    </row>
    <row r="62" spans="1:8" x14ac:dyDescent="0.25">
      <c r="A62">
        <f>COUNTIF($B$2:$B$375,B62)</f>
        <v>1</v>
      </c>
      <c r="B62" t="str">
        <f>[1]!Numerize(MID(H62,FIND("=",H62),10))</f>
        <v>9979</v>
      </c>
      <c r="C62" t="str">
        <f t="shared" si="0"/>
        <v>S11</v>
      </c>
      <c r="E62" t="str">
        <f>[1]!RegExpSubstitute(MID(H62,FIND("- ",H62)+2,FIND("- ",H62,FIND("- ",H62)+1)-FIND("- ",H62)-2),"\&amp;quot\;.*\&amp;quot\;\W","")</f>
        <v xml:space="preserve">Footballer Sackerman </v>
      </c>
      <c r="G62">
        <f t="shared" si="1"/>
        <v>451</v>
      </c>
      <c r="H62" t="s">
        <v>329</v>
      </c>
    </row>
    <row r="63" spans="1:8" x14ac:dyDescent="0.25">
      <c r="A63">
        <f>COUNTIF($B$2:$B$375,B63)</f>
        <v>1</v>
      </c>
      <c r="B63" t="str">
        <f>[1]!Numerize(MID(H63,FIND("=",H63),10))</f>
        <v>10048</v>
      </c>
      <c r="C63" t="str">
        <f t="shared" si="0"/>
        <v>S11</v>
      </c>
      <c r="E63" t="str">
        <f>[1]!RegExpSubstitute(MID(H63,FIND("- ",H63)+2,FIND("- ",H63,FIND("- ",H63)+1)-FIND("- ",H63)-2),"\&amp;quot\;.*\&amp;quot\;\W","")</f>
        <v xml:space="preserve">Franklin Townsend </v>
      </c>
      <c r="G63">
        <f t="shared" si="1"/>
        <v>94</v>
      </c>
      <c r="H63" t="s">
        <v>269</v>
      </c>
    </row>
    <row r="64" spans="1:8" x14ac:dyDescent="0.25">
      <c r="A64">
        <f>COUNTIF($B$2:$B$375,B64)</f>
        <v>1</v>
      </c>
      <c r="B64" t="str">
        <f>[1]!Numerize(MID(H64,FIND("=",H64),10))</f>
        <v>10133</v>
      </c>
      <c r="C64" t="str">
        <f t="shared" si="0"/>
        <v>S11</v>
      </c>
      <c r="E64" t="str">
        <f>[1]!RegExpSubstitute(MID(H64,FIND("- ",H64)+2,FIND("- ",H64,FIND("- ",H64)+1)-FIND("- ",H64)-2),"\&amp;quot\;.*\&amp;quot\;\W","")</f>
        <v xml:space="preserve">Gordon Ramsey Jr. </v>
      </c>
      <c r="G64">
        <f t="shared" si="1"/>
        <v>213</v>
      </c>
      <c r="H64" t="s">
        <v>268</v>
      </c>
    </row>
    <row r="65" spans="1:8" x14ac:dyDescent="0.25">
      <c r="A65">
        <f>COUNTIF($B$2:$B$375,B65)</f>
        <v>1</v>
      </c>
      <c r="B65" t="str">
        <f>[1]!Numerize(MID(H65,FIND("=",H65),10))</f>
        <v>10118</v>
      </c>
      <c r="C65" t="str">
        <f t="shared" si="0"/>
        <v>S11</v>
      </c>
      <c r="E65" t="str">
        <f>[1]!RegExpSubstitute(MID(H65,FIND("- ",H65)+2,FIND("- ",H65,FIND("- ",H65)+1)-FIND("- ",H65)-2),"\&amp;quot\;.*\&amp;quot\;\W","")</f>
        <v xml:space="preserve">Harvey Kindle </v>
      </c>
      <c r="G65">
        <f t="shared" si="1"/>
        <v>172</v>
      </c>
      <c r="H65" t="s">
        <v>182</v>
      </c>
    </row>
    <row r="66" spans="1:8" x14ac:dyDescent="0.25">
      <c r="A66">
        <f>COUNTIF($B$2:$B$375,B66)</f>
        <v>1</v>
      </c>
      <c r="B66" t="str">
        <f>[1]!Numerize(MID(H66,FIND("=",H66),10))</f>
        <v>10212</v>
      </c>
      <c r="C66" t="str">
        <f t="shared" si="0"/>
        <v>S11</v>
      </c>
      <c r="E66" t="str">
        <f>[1]!RegExpSubstitute(MID(H66,FIND("- ",H66)+2,FIND("- ",H66,FIND("- ",H66)+1)-FIND("- ",H66)-2),"\&amp;quot\;.*\&amp;quot\;\W","")</f>
        <v xml:space="preserve">Jerrod Canton </v>
      </c>
      <c r="G66">
        <f t="shared" si="1"/>
        <v>576</v>
      </c>
      <c r="H66" t="s">
        <v>326</v>
      </c>
    </row>
    <row r="67" spans="1:8" x14ac:dyDescent="0.25">
      <c r="A67">
        <f>COUNTIF($B$2:$B$375,B67)</f>
        <v>1</v>
      </c>
      <c r="B67" t="str">
        <f>[1]!Numerize(MID(H67,FIND("=",H67),10))</f>
        <v>10354</v>
      </c>
      <c r="C67" t="str">
        <f t="shared" ref="C67:C130" si="2">MID(H67,FIND("(",H67)+1,FIND(")",H67)-FIND("(",H67)-1)</f>
        <v>S11</v>
      </c>
      <c r="E67" t="str">
        <f>[1]!RegExpSubstitute(MID(H67,FIND("- ",H67)+2,FIND("- ",H67,FIND("- ",H67)+1)-FIND("- ",H67)-2),"\&amp;quot\;.*\&amp;quot\;\W","")</f>
        <v xml:space="preserve">Johnson Cox III </v>
      </c>
      <c r="G67">
        <f t="shared" ref="G67:G130" si="3">MID(H67,FIND("TPE: ",H67)+5,FIND(", ",H67,FIND("TPE: ",H67))-FIND("TPE: ",H67)-5)+0</f>
        <v>258</v>
      </c>
      <c r="H67" t="s">
        <v>306</v>
      </c>
    </row>
    <row r="68" spans="1:8" x14ac:dyDescent="0.25">
      <c r="A68">
        <f>COUNTIF($B$2:$B$375,B68)</f>
        <v>1</v>
      </c>
      <c r="B68" t="str">
        <f>[1]!Numerize(MID(H68,FIND("=",H68),10))</f>
        <v>10206</v>
      </c>
      <c r="C68" t="str">
        <f t="shared" si="2"/>
        <v>S11</v>
      </c>
      <c r="E68" t="str">
        <f>[1]!RegExpSubstitute(MID(H68,FIND("- ",H68)+2,FIND("- ",H68,FIND("- ",H68)+1)-FIND("- ",H68)-2),"\&amp;quot\;.*\&amp;quot\;\W","")</f>
        <v xml:space="preserve">Jonathan Rice </v>
      </c>
      <c r="G68">
        <f t="shared" si="3"/>
        <v>421</v>
      </c>
      <c r="H68" t="s">
        <v>285</v>
      </c>
    </row>
    <row r="69" spans="1:8" x14ac:dyDescent="0.25">
      <c r="A69">
        <f>COUNTIF($B$2:$B$375,B69)</f>
        <v>1</v>
      </c>
      <c r="B69" t="str">
        <f>[1]!Numerize(MID(H69,FIND("=",H69),10))</f>
        <v>10061</v>
      </c>
      <c r="C69" t="str">
        <f t="shared" si="2"/>
        <v>S11</v>
      </c>
      <c r="E69" t="str">
        <f>[1]!RegExpSubstitute(MID(H69,FIND("- ",H69)+2,FIND("- ",H69,FIND("- ",H69)+1)-FIND("- ",H69)-2),"\&amp;quot\;.*\&amp;quot\;\W","")</f>
        <v xml:space="preserve">Josh Parker </v>
      </c>
      <c r="G69">
        <f t="shared" si="3"/>
        <v>558</v>
      </c>
      <c r="H69" t="s">
        <v>351</v>
      </c>
    </row>
    <row r="70" spans="1:8" x14ac:dyDescent="0.25">
      <c r="A70">
        <f>COUNTIF($B$2:$B$375,B70)</f>
        <v>1</v>
      </c>
      <c r="B70" t="str">
        <f>[1]!Numerize(MID(H70,FIND("=",H70),10))</f>
        <v>10018</v>
      </c>
      <c r="C70" t="str">
        <f t="shared" si="2"/>
        <v>S11</v>
      </c>
      <c r="E70" t="str">
        <f>[1]!RegExpSubstitute(MID(H70,FIND("- ",H70)+2,FIND("- ",H70,FIND("- ",H70)+1)-FIND("- ",H70)-2),"\&amp;quot\;.*\&amp;quot\;\W","")</f>
        <v xml:space="preserve">K.J. Becker </v>
      </c>
      <c r="G70">
        <f t="shared" si="3"/>
        <v>614</v>
      </c>
      <c r="H70" t="s">
        <v>310</v>
      </c>
    </row>
    <row r="71" spans="1:8" x14ac:dyDescent="0.25">
      <c r="A71">
        <f>COUNTIF($B$2:$B$375,B71)</f>
        <v>1</v>
      </c>
      <c r="B71" t="str">
        <f>[1]!Numerize(MID(H71,FIND("=",H71),10))</f>
        <v>9857</v>
      </c>
      <c r="C71" t="str">
        <f t="shared" si="2"/>
        <v>S11</v>
      </c>
      <c r="E71" t="str">
        <f>[1]!RegExpSubstitute(MID(H71,FIND("- ",H71)+2,FIND("- ",H71,FIND("- ",H71)+1)-FIND("- ",H71)-2),"\&amp;quot\;.*\&amp;quot\;\W","")</f>
        <v xml:space="preserve">Kick Puncher </v>
      </c>
      <c r="G71">
        <f t="shared" si="3"/>
        <v>76</v>
      </c>
      <c r="H71" t="s">
        <v>240</v>
      </c>
    </row>
    <row r="72" spans="1:8" x14ac:dyDescent="0.25">
      <c r="A72">
        <f>COUNTIF($B$2:$B$375,B72)</f>
        <v>1</v>
      </c>
      <c r="B72" t="str">
        <f>[1]!Numerize(MID(H72,FIND("=",H72),10))</f>
        <v>10126</v>
      </c>
      <c r="C72" t="str">
        <f t="shared" si="2"/>
        <v>S11</v>
      </c>
      <c r="E72" t="str">
        <f>[1]!RegExpSubstitute(MID(H72,FIND("- ",H72)+2,FIND("- ",H72,FIND("- ",H72)+1)-FIND("- ",H72)-2),"\&amp;quot\;.*\&amp;quot\;\W","")</f>
        <v xml:space="preserve">Kulture Fulture </v>
      </c>
      <c r="G72">
        <f t="shared" si="3"/>
        <v>594</v>
      </c>
      <c r="H72" t="s">
        <v>308</v>
      </c>
    </row>
    <row r="73" spans="1:8" x14ac:dyDescent="0.25">
      <c r="A73">
        <f>COUNTIF($B$2:$B$375,B73)</f>
        <v>1</v>
      </c>
      <c r="B73" t="str">
        <f>[1]!Numerize(MID(H73,FIND("=",H73),10))</f>
        <v>9838</v>
      </c>
      <c r="C73" t="str">
        <f t="shared" si="2"/>
        <v>S11</v>
      </c>
      <c r="E73" t="str">
        <f>[1]!RegExpSubstitute(MID(H73,FIND("- ",H73)+2,FIND("- ",H73,FIND("- ",H73)+1)-FIND("- ",H73)-2),"\&amp;quot\;.*\&amp;quot\;\W","")</f>
        <v xml:space="preserve">Kwame Abayomi Mbanefo </v>
      </c>
      <c r="G73">
        <f t="shared" si="3"/>
        <v>681</v>
      </c>
      <c r="H73" t="s">
        <v>205</v>
      </c>
    </row>
    <row r="74" spans="1:8" x14ac:dyDescent="0.25">
      <c r="A74">
        <f>COUNTIF($B$2:$B$375,B74)</f>
        <v>1</v>
      </c>
      <c r="B74" t="str">
        <f>[1]!Numerize(MID(H74,FIND("=",H74),10))</f>
        <v>10004</v>
      </c>
      <c r="C74" t="str">
        <f t="shared" si="2"/>
        <v>S11</v>
      </c>
      <c r="E74" t="str">
        <f>[1]!RegExpSubstitute(MID(H74,FIND("- ",H74)+2,FIND("- ",H74,FIND("- ",H74)+1)-FIND("- ",H74)-2),"\&amp;quot\;.*\&amp;quot\;\W","")</f>
        <v xml:space="preserve">Lennox Garnett </v>
      </c>
      <c r="G74">
        <f t="shared" si="3"/>
        <v>800</v>
      </c>
      <c r="H74" t="s">
        <v>311</v>
      </c>
    </row>
    <row r="75" spans="1:8" x14ac:dyDescent="0.25">
      <c r="A75">
        <f>COUNTIF($B$2:$B$375,B75)</f>
        <v>1</v>
      </c>
      <c r="B75" t="str">
        <f>[1]!Numerize(MID(H75,FIND("=",H75),10))</f>
        <v>9997</v>
      </c>
      <c r="C75" t="str">
        <f t="shared" si="2"/>
        <v>S11</v>
      </c>
      <c r="E75" t="str">
        <f>[1]!RegExpSubstitute(MID(H75,FIND("- ",H75)+2,FIND("- ",H75,FIND("- ",H75)+1)-FIND("- ",H75)-2),"\&amp;quot\;.*\&amp;quot\;\W","")</f>
        <v xml:space="preserve">Marc Spector </v>
      </c>
      <c r="G75">
        <f t="shared" si="3"/>
        <v>520</v>
      </c>
      <c r="H75" t="s">
        <v>287</v>
      </c>
    </row>
    <row r="76" spans="1:8" x14ac:dyDescent="0.25">
      <c r="A76">
        <f>COUNTIF($B$2:$B$375,B76)</f>
        <v>1</v>
      </c>
      <c r="B76" t="str">
        <f>[1]!Numerize(MID(H76,FIND("=",H76),10))</f>
        <v>10256</v>
      </c>
      <c r="C76" t="str">
        <f t="shared" si="2"/>
        <v>S11</v>
      </c>
      <c r="E76" t="str">
        <f>[1]!RegExpSubstitute(MID(H76,FIND("- ",H76)+2,FIND("- ",H76,FIND("- ",H76)+1)-FIND("- ",H76)-2),"\&amp;quot\;.*\&amp;quot\;\W","")</f>
        <v xml:space="preserve">Roger Batoff </v>
      </c>
      <c r="G76">
        <f t="shared" si="3"/>
        <v>386</v>
      </c>
      <c r="H76" t="s">
        <v>307</v>
      </c>
    </row>
    <row r="77" spans="1:8" x14ac:dyDescent="0.25">
      <c r="A77">
        <f>COUNTIF($B$2:$B$375,B77)</f>
        <v>1</v>
      </c>
      <c r="B77" t="str">
        <f>[1]!Numerize(MID(H77,FIND("=",H77),10))</f>
        <v>10234</v>
      </c>
      <c r="C77" t="str">
        <f t="shared" si="2"/>
        <v>S11</v>
      </c>
      <c r="E77" t="str">
        <f>[1]!RegExpSubstitute(MID(H77,FIND("- ",H77)+2,FIND("- ",H77,FIND("- ",H77)+1)-FIND("- ",H77)-2),"\&amp;quot\;.*\&amp;quot\;\W","")</f>
        <v xml:space="preserve">Slim Shady </v>
      </c>
      <c r="G77">
        <f t="shared" si="3"/>
        <v>390</v>
      </c>
      <c r="H77" t="s">
        <v>181</v>
      </c>
    </row>
    <row r="78" spans="1:8" x14ac:dyDescent="0.25">
      <c r="A78">
        <f>COUNTIF($B$2:$B$375,B78)</f>
        <v>1</v>
      </c>
      <c r="B78" t="str">
        <f>[1]!Numerize(MID(H78,FIND("=",H78),10))</f>
        <v>10390</v>
      </c>
      <c r="C78" t="str">
        <f t="shared" si="2"/>
        <v>S11</v>
      </c>
      <c r="E78" t="str">
        <f>[1]!RegExpSubstitute(MID(H78,FIND("- ",H78)+2,FIND("- ",H78,FIND("- ",H78)+1)-FIND("- ",H78)-2),"\&amp;quot\;.*\&amp;quot\;\W","")</f>
        <v xml:space="preserve">Spencer Lawes </v>
      </c>
      <c r="G78">
        <f t="shared" si="3"/>
        <v>110</v>
      </c>
      <c r="H78" t="s">
        <v>137</v>
      </c>
    </row>
    <row r="79" spans="1:8" x14ac:dyDescent="0.25">
      <c r="A79">
        <f>COUNTIF($B$2:$B$375,B79)</f>
        <v>1</v>
      </c>
      <c r="B79" t="str">
        <f>[1]!Numerize(MID(H79,FIND("=",H79),10))</f>
        <v>10062</v>
      </c>
      <c r="C79" t="str">
        <f t="shared" si="2"/>
        <v>S11</v>
      </c>
      <c r="E79" t="str">
        <f>[1]!RegExpSubstitute(MID(H79,FIND("- ",H79)+2,FIND("- ",H79,FIND("- ",H79)+1)-FIND("- ",H79)-2),"\&amp;quot\;.*\&amp;quot\;\W","")</f>
        <v xml:space="preserve">Steven Moore </v>
      </c>
      <c r="G79">
        <f t="shared" si="3"/>
        <v>316</v>
      </c>
      <c r="H79" t="s">
        <v>183</v>
      </c>
    </row>
    <row r="80" spans="1:8" x14ac:dyDescent="0.25">
      <c r="A80">
        <f>COUNTIF($B$2:$B$375,B80)</f>
        <v>1</v>
      </c>
      <c r="B80" t="str">
        <f>[1]!Numerize(MID(H80,FIND("=",H80),10))</f>
        <v>9850</v>
      </c>
      <c r="C80" t="str">
        <f t="shared" si="2"/>
        <v>S11</v>
      </c>
      <c r="E80" t="str">
        <f>[1]!RegExpSubstitute(MID(H80,FIND("- ",H80)+2,FIND("- ",H80,FIND("- ",H80)+1)-FIND("- ",H80)-2),"\&amp;quot\;.*\&amp;quot\;\W","")</f>
        <v xml:space="preserve">Sunnycursed </v>
      </c>
      <c r="G80">
        <f t="shared" si="3"/>
        <v>760</v>
      </c>
      <c r="H80" t="s">
        <v>288</v>
      </c>
    </row>
    <row r="81" spans="1:8" x14ac:dyDescent="0.25">
      <c r="A81">
        <f>COUNTIF($B$2:$B$375,B81)</f>
        <v>1</v>
      </c>
      <c r="B81" t="str">
        <f>[1]!Numerize(MID(H81,FIND("=",H81),10))</f>
        <v>9991</v>
      </c>
      <c r="C81" t="str">
        <f t="shared" si="2"/>
        <v>S11</v>
      </c>
      <c r="E81" t="str">
        <f>[1]!RegExpSubstitute(MID(H81,FIND("- ",H81)+2,FIND("- ",H81,FIND("- ",H81)+1)-FIND("- ",H81)-2),"\&amp;quot\;.*\&amp;quot\;\W","")</f>
        <v xml:space="preserve">Tana Keïta </v>
      </c>
      <c r="G81">
        <f t="shared" si="3"/>
        <v>595</v>
      </c>
      <c r="H81" t="s">
        <v>270</v>
      </c>
    </row>
    <row r="82" spans="1:8" x14ac:dyDescent="0.25">
      <c r="A82">
        <f>COUNTIF($B$2:$B$375,B82)</f>
        <v>1</v>
      </c>
      <c r="B82" t="str">
        <f>[1]!Numerize(MID(H82,FIND("=",H82),10))</f>
        <v>9846</v>
      </c>
      <c r="C82" t="str">
        <f t="shared" si="2"/>
        <v>S11</v>
      </c>
      <c r="E82" t="str">
        <f>[1]!RegExpSubstitute(MID(H82,FIND("- ",H82)+2,FIND("- ",H82,FIND("- ",H82)+1)-FIND("- ",H82)-2),"\&amp;quot\;.*\&amp;quot\;\W","")</f>
        <v xml:space="preserve">Thjalfi Halvorsen </v>
      </c>
      <c r="G82">
        <f t="shared" si="3"/>
        <v>212</v>
      </c>
      <c r="H82" t="s">
        <v>271</v>
      </c>
    </row>
    <row r="83" spans="1:8" x14ac:dyDescent="0.25">
      <c r="A83">
        <f>COUNTIF($B$2:$B$375,B83)</f>
        <v>1</v>
      </c>
      <c r="B83" t="str">
        <f>[1]!Numerize(MID(H83,FIND("=",H83),10))</f>
        <v>10402</v>
      </c>
      <c r="C83" t="str">
        <f t="shared" si="2"/>
        <v>S11</v>
      </c>
      <c r="E83" t="str">
        <f>[1]!RegExpSubstitute(MID(H83,FIND("- ",H83)+2,FIND("- ",H83,FIND("- ",H83)+1)-FIND("- ",H83)-2),"\&amp;quot\;.*\&amp;quot\;\W","")</f>
        <v xml:space="preserve">Thomas Carrasco </v>
      </c>
      <c r="G83">
        <f t="shared" si="3"/>
        <v>177</v>
      </c>
      <c r="H83" t="s">
        <v>348</v>
      </c>
    </row>
    <row r="84" spans="1:8" x14ac:dyDescent="0.25">
      <c r="A84">
        <f>COUNTIF($B$2:$B$375,B84)</f>
        <v>1</v>
      </c>
      <c r="B84" t="str">
        <f>[1]!Numerize(MID(H84,FIND("=",H84),10))</f>
        <v>10134</v>
      </c>
      <c r="C84" t="str">
        <f t="shared" si="2"/>
        <v>S11</v>
      </c>
      <c r="E84" t="str">
        <f>[1]!RegExpSubstitute(MID(H84,FIND("- ",H84)+2,FIND("- ",H84,FIND("- ",H84)+1)-FIND("- ",H84)-2),"\&amp;quot\;.*\&amp;quot\;\W","")</f>
        <v xml:space="preserve">Ty Justice </v>
      </c>
      <c r="G84">
        <f t="shared" si="3"/>
        <v>284</v>
      </c>
      <c r="H84" t="s">
        <v>327</v>
      </c>
    </row>
    <row r="85" spans="1:8" x14ac:dyDescent="0.25">
      <c r="A85">
        <f>COUNTIF($B$2:$B$375,B85)</f>
        <v>1</v>
      </c>
      <c r="B85" t="str">
        <f>[1]!Numerize(MID(H85,FIND("=",H85),10))</f>
        <v>10136</v>
      </c>
      <c r="C85" t="str">
        <f t="shared" si="2"/>
        <v>S11</v>
      </c>
      <c r="E85" t="str">
        <f>[1]!RegExpSubstitute(MID(H85,FIND("- ",H85)+2,FIND("- ",H85,FIND("- ",H85)+1)-FIND("- ",H85)-2),"\&amp;quot\;.*\&amp;quot\;\W","")</f>
        <v xml:space="preserve">Will Foster </v>
      </c>
      <c r="G85">
        <f t="shared" si="3"/>
        <v>271</v>
      </c>
      <c r="H85" t="s">
        <v>349</v>
      </c>
    </row>
    <row r="86" spans="1:8" x14ac:dyDescent="0.25">
      <c r="A86">
        <f>COUNTIF($B$2:$B$375,B86)</f>
        <v>1</v>
      </c>
      <c r="B86" t="str">
        <f>[1]!Numerize(MID(H86,FIND("=",H86),10))</f>
        <v>10024</v>
      </c>
      <c r="C86" t="str">
        <f t="shared" si="2"/>
        <v>S11</v>
      </c>
      <c r="E86" t="str">
        <f>[1]!RegExpSubstitute(MID(H86,FIND("- ",H86)+2,FIND("- ",H86,FIND("- ",H86)+1)-FIND("- ",H86)-2),"\&amp;quot\;.*\&amp;quot\;\W","")</f>
        <v xml:space="preserve">Yulic Nagasawa </v>
      </c>
      <c r="G86">
        <f t="shared" si="3"/>
        <v>500</v>
      </c>
      <c r="H86" t="s">
        <v>204</v>
      </c>
    </row>
    <row r="87" spans="1:8" x14ac:dyDescent="0.25">
      <c r="A87">
        <f>COUNTIF($B$2:$B$375,B87)</f>
        <v>1</v>
      </c>
      <c r="B87" t="str">
        <f>[1]!Numerize(MID(H87,FIND("=",H87),10))</f>
        <v>10182</v>
      </c>
      <c r="C87" t="str">
        <f t="shared" si="2"/>
        <v>S11</v>
      </c>
      <c r="E87" t="str">
        <f>[1]!RegExpSubstitute(MID(H87,FIND("- ",H87)+2,FIND("- ",H87,FIND("- ",H87)+1)-FIND("- ",H87)-2),"\&amp;quot\;.*\&amp;quot\;\W","")</f>
        <v xml:space="preserve">Zoro Roronoa </v>
      </c>
      <c r="G87">
        <f t="shared" si="3"/>
        <v>168</v>
      </c>
      <c r="H87" t="s">
        <v>168</v>
      </c>
    </row>
    <row r="88" spans="1:8" x14ac:dyDescent="0.25">
      <c r="A88">
        <f>COUNTIF($B$2:$B$375,B88)</f>
        <v>1</v>
      </c>
      <c r="B88" t="str">
        <f>[1]!Numerize(MID(H88,FIND("=",H88),10))</f>
        <v>10476</v>
      </c>
      <c r="C88" t="str">
        <f t="shared" si="2"/>
        <v>S12</v>
      </c>
      <c r="E88" t="str">
        <f>[1]!RegExpSubstitute(MID(H88,FIND("- ",H88)+2,FIND("- ",H88,FIND("- ",H88)+1)-FIND("- ",H88)-2),"\&amp;quot\;.*\&amp;quot\;\W","")</f>
        <v xml:space="preserve">Aksel Danielsson </v>
      </c>
      <c r="G88">
        <f t="shared" si="3"/>
        <v>412</v>
      </c>
      <c r="H88" t="s">
        <v>267</v>
      </c>
    </row>
    <row r="89" spans="1:8" x14ac:dyDescent="0.25">
      <c r="A89">
        <f>COUNTIF($B$2:$B$375,B89)</f>
        <v>1</v>
      </c>
      <c r="B89" t="str">
        <f>[1]!Numerize(MID(H89,FIND("=",H89),10))</f>
        <v>10598</v>
      </c>
      <c r="C89" t="str">
        <f t="shared" si="2"/>
        <v>S12</v>
      </c>
      <c r="E89" t="str">
        <f>[1]!RegExpSubstitute(MID(H89,FIND("- ",H89)+2,FIND("- ",H89,FIND("- ",H89)+1)-FIND("- ",H89)-2),"\&amp;quot\;.*\&amp;quot\;\W","")</f>
        <v xml:space="preserve">Arbin Asipi III </v>
      </c>
      <c r="G89">
        <f t="shared" si="3"/>
        <v>491</v>
      </c>
      <c r="H89" t="s">
        <v>201</v>
      </c>
    </row>
    <row r="90" spans="1:8" x14ac:dyDescent="0.25">
      <c r="A90">
        <f>COUNTIF($B$2:$B$375,B90)</f>
        <v>1</v>
      </c>
      <c r="B90" t="str">
        <f>[1]!Numerize(MID(H90,FIND("=",H90),10))</f>
        <v>10708</v>
      </c>
      <c r="C90" t="str">
        <f t="shared" si="2"/>
        <v>S12</v>
      </c>
      <c r="E90" t="str">
        <f>[1]!RegExpSubstitute(MID(H90,FIND("- ",H90)+2,FIND("- ",H90,FIND("- ",H90)+1)-FIND("- ",H90)-2),"\&amp;quot\;.*\&amp;quot\;\W","")</f>
        <v xml:space="preserve">Axel Hornbacher </v>
      </c>
      <c r="G90">
        <f t="shared" si="3"/>
        <v>551</v>
      </c>
      <c r="H90" t="s">
        <v>221</v>
      </c>
    </row>
    <row r="91" spans="1:8" x14ac:dyDescent="0.25">
      <c r="A91">
        <f>COUNTIF($B$2:$B$375,B91)</f>
        <v>1</v>
      </c>
      <c r="B91" t="str">
        <f>[1]!Numerize(MID(H91,FIND("=",H91),10))</f>
        <v>10657</v>
      </c>
      <c r="C91" t="str">
        <f t="shared" si="2"/>
        <v>S12</v>
      </c>
      <c r="E91" t="str">
        <f>[1]!RegExpSubstitute(MID(H91,FIND("- ",H91)+2,FIND("- ",H91,FIND("- ",H91)+1)-FIND("- ",H91)-2),"\&amp;quot\;.*\&amp;quot\;\W","")</f>
        <v xml:space="preserve">Beau Montgomery </v>
      </c>
      <c r="G91">
        <f t="shared" si="3"/>
        <v>419</v>
      </c>
      <c r="H91" t="s">
        <v>222</v>
      </c>
    </row>
    <row r="92" spans="1:8" x14ac:dyDescent="0.25">
      <c r="A92">
        <f>COUNTIF($B$2:$B$375,B92)</f>
        <v>1</v>
      </c>
      <c r="B92" t="str">
        <f>[1]!Numerize(MID(H92,FIND("=",H92),10))</f>
        <v>10741</v>
      </c>
      <c r="C92" t="str">
        <f t="shared" si="2"/>
        <v>S12</v>
      </c>
      <c r="E92" t="str">
        <f>[1]!RegExpSubstitute(MID(H92,FIND("- ",H92)+2,FIND("- ",H92,FIND("- ",H92)+1)-FIND("- ",H92)-2),"\&amp;quot\;.*\&amp;quot\;\W","")</f>
        <v xml:space="preserve">Beauregard Smallwood-Chess </v>
      </c>
      <c r="G92">
        <f t="shared" si="3"/>
        <v>136</v>
      </c>
      <c r="H92" t="s">
        <v>103</v>
      </c>
    </row>
    <row r="93" spans="1:8" x14ac:dyDescent="0.25">
      <c r="A93">
        <f>COUNTIF($B$2:$B$375,B93)</f>
        <v>1</v>
      </c>
      <c r="B93" t="str">
        <f>[1]!Numerize(MID(H93,FIND("=",H93),10))</f>
        <v>10629</v>
      </c>
      <c r="C93" t="str">
        <f t="shared" si="2"/>
        <v>S12</v>
      </c>
      <c r="E93" t="str">
        <f>[1]!RegExpSubstitute(MID(H93,FIND("- ",H93)+2,FIND("- ",H93,FIND("- ",H93)+1)-FIND("- ",H93)-2),"\&amp;quot\;.*\&amp;quot\;\W","")</f>
        <v xml:space="preserve">Charlie Trout </v>
      </c>
      <c r="G93">
        <f t="shared" si="3"/>
        <v>495</v>
      </c>
      <c r="H93" t="s">
        <v>202</v>
      </c>
    </row>
    <row r="94" spans="1:8" x14ac:dyDescent="0.25">
      <c r="A94">
        <f>COUNTIF($B$2:$B$375,B94)</f>
        <v>1</v>
      </c>
      <c r="B94" t="str">
        <f>[1]!Numerize(MID(H94,FIND("=",H94),10))</f>
        <v>10787</v>
      </c>
      <c r="C94" t="str">
        <f t="shared" si="2"/>
        <v>S12</v>
      </c>
      <c r="E94" t="str">
        <f>[1]!RegExpSubstitute(MID(H94,FIND("- ",H94)+2,FIND("- ",H94,FIND("- ",H94)+1)-FIND("- ",H94)-2),"\&amp;quot\;.*\&amp;quot\;\W","")</f>
        <v xml:space="preserve">CJ Henderson </v>
      </c>
      <c r="G94">
        <f t="shared" si="3"/>
        <v>81</v>
      </c>
      <c r="H94" t="s">
        <v>164</v>
      </c>
    </row>
    <row r="95" spans="1:8" x14ac:dyDescent="0.25">
      <c r="A95">
        <f>COUNTIF($B$2:$B$375,B95)</f>
        <v>1</v>
      </c>
      <c r="B95" t="str">
        <f>[1]!Numerize(MID(H95,FIND("=",H95),10))</f>
        <v>10765</v>
      </c>
      <c r="C95" t="str">
        <f t="shared" si="2"/>
        <v>S12</v>
      </c>
      <c r="E95" t="str">
        <f>[1]!RegExpSubstitute(MID(H95,FIND("- ",H95)+2,FIND("- ",H95,FIND("- ",H95)+1)-FIND("- ",H95)-2),"\&amp;quot\;.*\&amp;quot\;\W","")</f>
        <v xml:space="preserve">Cole Walker </v>
      </c>
      <c r="G95">
        <f t="shared" si="3"/>
        <v>99</v>
      </c>
      <c r="H95" t="s">
        <v>178</v>
      </c>
    </row>
    <row r="96" spans="1:8" x14ac:dyDescent="0.25">
      <c r="A96">
        <f>COUNTIF($B$2:$B$375,B96)</f>
        <v>1</v>
      </c>
      <c r="B96" t="str">
        <f>[1]!Numerize(MID(H96,FIND("=",H96),10))</f>
        <v>10632</v>
      </c>
      <c r="C96" t="str">
        <f t="shared" si="2"/>
        <v>S12</v>
      </c>
      <c r="E96" t="str">
        <f>[1]!RegExpSubstitute(MID(H96,FIND("- ",H96)+2,FIND("- ",H96,FIND("- ",H96)+1)-FIND("- ",H96)-2),"\&amp;quot\;.*\&amp;quot\;\W","")</f>
        <v xml:space="preserve">Daniel Amon </v>
      </c>
      <c r="G96">
        <f t="shared" si="3"/>
        <v>61</v>
      </c>
      <c r="H96" t="s">
        <v>165</v>
      </c>
    </row>
    <row r="97" spans="1:8" x14ac:dyDescent="0.25">
      <c r="A97">
        <f>COUNTIF($B$2:$B$375,B97)</f>
        <v>1</v>
      </c>
      <c r="B97" t="str">
        <f>[1]!Numerize(MID(H97,FIND("=",H97),10))</f>
        <v>10449</v>
      </c>
      <c r="C97" t="str">
        <f t="shared" si="2"/>
        <v>S12</v>
      </c>
      <c r="E97" t="str">
        <f>[1]!RegExpSubstitute(MID(H97,FIND("- ",H97)+2,FIND("- ",H97,FIND("- ",H97)+1)-FIND("- ",H97)-2),"\&amp;quot\;.*\&amp;quot\;\W","")</f>
        <v xml:space="preserve">Derek Bohne </v>
      </c>
      <c r="G97">
        <f t="shared" si="3"/>
        <v>187</v>
      </c>
      <c r="H97" t="s">
        <v>28</v>
      </c>
    </row>
    <row r="98" spans="1:8" x14ac:dyDescent="0.25">
      <c r="A98">
        <f>COUNTIF($B$2:$B$375,B98)</f>
        <v>1</v>
      </c>
      <c r="B98" t="str">
        <f>[1]!Numerize(MID(H98,FIND("=",H98),10))</f>
        <v>10516</v>
      </c>
      <c r="C98" t="str">
        <f t="shared" si="2"/>
        <v>S12</v>
      </c>
      <c r="E98" t="str">
        <f>[1]!RegExpSubstitute(MID(H98,FIND("- ",H98)+2,FIND("- ",H98,FIND("- ",H98)+1)-FIND("- ",H98)-2),"\&amp;quot\;.*\&amp;quot\;\W","")</f>
        <v xml:space="preserve">Devon Baxter </v>
      </c>
      <c r="G98">
        <f t="shared" si="3"/>
        <v>178</v>
      </c>
      <c r="H98" t="s">
        <v>373</v>
      </c>
    </row>
    <row r="99" spans="1:8" x14ac:dyDescent="0.25">
      <c r="A99">
        <f>COUNTIF($B$2:$B$375,B99)</f>
        <v>1</v>
      </c>
      <c r="B99" t="str">
        <f>[1]!Numerize(MID(H99,FIND("=",H99),10))</f>
        <v>10648</v>
      </c>
      <c r="C99" t="str">
        <f t="shared" si="2"/>
        <v>S12</v>
      </c>
      <c r="E99" t="str">
        <f>[1]!RegExpSubstitute(MID(H99,FIND("- ",H99)+2,FIND("- ",H99,FIND("- ",H99)+1)-FIND("- ",H99)-2),"\&amp;quot\;.*\&amp;quot\;\W","")</f>
        <v xml:space="preserve">Dick Wizardry </v>
      </c>
      <c r="G99">
        <f t="shared" si="3"/>
        <v>615</v>
      </c>
      <c r="H99" t="s">
        <v>347</v>
      </c>
    </row>
    <row r="100" spans="1:8" x14ac:dyDescent="0.25">
      <c r="A100">
        <f>COUNTIF($B$2:$B$375,B100)</f>
        <v>1</v>
      </c>
      <c r="B100" t="str">
        <f>[1]!Numerize(MID(H100,FIND("=",H100),10))</f>
        <v>10643</v>
      </c>
      <c r="C100" t="str">
        <f t="shared" si="2"/>
        <v>S12</v>
      </c>
      <c r="E100" t="str">
        <f>[1]!RegExpSubstitute(MID(H100,FIND("- ",H100)+2,FIND("- ",H100,FIND("- ",H100)+1)-FIND("- ",H100)-2),"\&amp;quot\;.*\&amp;quot\;\W","")</f>
        <v xml:space="preserve">Django Anoa'i </v>
      </c>
      <c r="G100">
        <f t="shared" si="3"/>
        <v>309</v>
      </c>
      <c r="H100" t="s">
        <v>283</v>
      </c>
    </row>
    <row r="101" spans="1:8" x14ac:dyDescent="0.25">
      <c r="A101">
        <f>COUNTIF($B$2:$B$375,B101)</f>
        <v>1</v>
      </c>
      <c r="B101" t="str">
        <f>[1]!Numerize(MID(H101,FIND("=",H101),10))</f>
        <v>10480</v>
      </c>
      <c r="C101" t="str">
        <f t="shared" si="2"/>
        <v>S12</v>
      </c>
      <c r="E101" t="str">
        <f>[1]!RegExpSubstitute(MID(H101,FIND("- ",H101)+2,FIND("- ",H101,FIND("- ",H101)+1)-FIND("- ",H101)-2),"\&amp;quot\;.*\&amp;quot\;\W","")</f>
        <v xml:space="preserve">Errol Maddox </v>
      </c>
      <c r="G101">
        <f t="shared" si="3"/>
        <v>649</v>
      </c>
      <c r="H101" t="s">
        <v>203</v>
      </c>
    </row>
    <row r="102" spans="1:8" x14ac:dyDescent="0.25">
      <c r="A102">
        <f>COUNTIF($B$2:$B$375,B102)</f>
        <v>1</v>
      </c>
      <c r="B102" t="str">
        <f>[1]!Numerize(MID(H102,FIND("=",H102),10))</f>
        <v>10864</v>
      </c>
      <c r="C102" t="str">
        <f t="shared" si="2"/>
        <v>S12</v>
      </c>
      <c r="E102" t="str">
        <f>[1]!RegExpSubstitute(MID(H102,FIND("- ",H102)+2,FIND("- ",H102,FIND("- ",H102)+1)-FIND("- ",H102)-2),"\&amp;quot\;.*\&amp;quot\;\W","")</f>
        <v xml:space="preserve">Fast Boija </v>
      </c>
      <c r="G102">
        <f t="shared" si="3"/>
        <v>209</v>
      </c>
      <c r="H102" t="s">
        <v>303</v>
      </c>
    </row>
    <row r="103" spans="1:8" x14ac:dyDescent="0.25">
      <c r="A103">
        <f>COUNTIF($B$2:$B$375,B103)</f>
        <v>1</v>
      </c>
      <c r="B103" t="str">
        <f>[1]!Numerize(MID(H103,FIND("=",H103),10))</f>
        <v>10513</v>
      </c>
      <c r="C103" t="str">
        <f t="shared" si="2"/>
        <v>S12</v>
      </c>
      <c r="E103" t="str">
        <f>[1]!RegExpSubstitute(MID(H103,FIND("- ",H103)+2,FIND("- ",H103,FIND("- ",H103)+1)-FIND("- ",H103)-2),"\&amp;quot\;.*\&amp;quot\;\W","")</f>
        <v xml:space="preserve">Freezer Riposte </v>
      </c>
      <c r="G103">
        <f t="shared" si="3"/>
        <v>550</v>
      </c>
      <c r="H103" t="s">
        <v>325</v>
      </c>
    </row>
    <row r="104" spans="1:8" x14ac:dyDescent="0.25">
      <c r="A104">
        <f>COUNTIF($B$2:$B$375,B104)</f>
        <v>1</v>
      </c>
      <c r="B104" t="str">
        <f>[1]!Numerize(MID(H104,FIND("=",H104),10))</f>
        <v>10541</v>
      </c>
      <c r="C104" t="str">
        <f t="shared" si="2"/>
        <v>S12</v>
      </c>
      <c r="E104" t="str">
        <f>[1]!RegExpSubstitute(MID(H104,FIND("- ",H104)+2,FIND("- ",H104,FIND("- ",H104)+1)-FIND("- ",H104)-2),"\&amp;quot\;.*\&amp;quot\;\W","")</f>
        <v xml:space="preserve">Grayson Kuusela </v>
      </c>
      <c r="G104">
        <f t="shared" si="3"/>
        <v>430</v>
      </c>
      <c r="H104" t="s">
        <v>266</v>
      </c>
    </row>
    <row r="105" spans="1:8" x14ac:dyDescent="0.25">
      <c r="A105">
        <f>COUNTIF($B$2:$B$375,B105)</f>
        <v>1</v>
      </c>
      <c r="B105" t="str">
        <f>[1]!Numerize(MID(H105,FIND("=",H105),10))</f>
        <v>10806</v>
      </c>
      <c r="C105" t="str">
        <f t="shared" si="2"/>
        <v>S12</v>
      </c>
      <c r="E105" t="str">
        <f>[1]!RegExpSubstitute(MID(H105,FIND("- ",H105)+2,FIND("- ",H105,FIND("- ",H105)+1)-FIND("- ",H105)-2),"\&amp;quot\;.*\&amp;quot\;\W","")</f>
        <v xml:space="preserve">Grayson Wayne </v>
      </c>
      <c r="G105">
        <f t="shared" si="3"/>
        <v>50</v>
      </c>
      <c r="H105" t="s">
        <v>102</v>
      </c>
    </row>
    <row r="106" spans="1:8" x14ac:dyDescent="0.25">
      <c r="A106">
        <f>COUNTIF($B$2:$B$375,B106)</f>
        <v>1</v>
      </c>
      <c r="B106" t="str">
        <f>[1]!Numerize(MID(H106,FIND("=",H106),10))</f>
        <v>10917</v>
      </c>
      <c r="C106" t="str">
        <f t="shared" si="2"/>
        <v>S12</v>
      </c>
      <c r="E106" t="str">
        <f>[1]!RegExpSubstitute(MID(H106,FIND("- ",H106)+2,FIND("- ",H106,FIND("- ",H106)+1)-FIND("- ",H106)-2),"\&amp;quot\;.*\&amp;quot\;\W","")</f>
        <v xml:space="preserve">Hike Mughes </v>
      </c>
      <c r="G106">
        <f t="shared" si="3"/>
        <v>313</v>
      </c>
      <c r="H106" t="s">
        <v>177</v>
      </c>
    </row>
    <row r="107" spans="1:8" x14ac:dyDescent="0.25">
      <c r="A107">
        <f>COUNTIF($B$2:$B$375,B107)</f>
        <v>1</v>
      </c>
      <c r="B107" t="str">
        <f>[1]!Numerize(MID(H107,FIND("=",H107),10))</f>
        <v>10529</v>
      </c>
      <c r="C107" t="str">
        <f t="shared" si="2"/>
        <v>S12</v>
      </c>
      <c r="E107" t="str">
        <f>[1]!RegExpSubstitute(MID(H107,FIND("- ",H107)+2,FIND("- ",H107,FIND("- ",H107)+1)-FIND("- ",H107)-2),"\&amp;quot\;.*\&amp;quot\;\W","")</f>
        <v xml:space="preserve">Ikaika Kalilimoku </v>
      </c>
      <c r="G107">
        <f t="shared" si="3"/>
        <v>228</v>
      </c>
      <c r="H107" t="s">
        <v>305</v>
      </c>
    </row>
    <row r="108" spans="1:8" x14ac:dyDescent="0.25">
      <c r="A108">
        <f>COUNTIF($B$2:$B$375,B108)</f>
        <v>1</v>
      </c>
      <c r="B108" t="str">
        <f>[1]!Numerize(MID(H108,FIND("=",H108),10))</f>
        <v>11050</v>
      </c>
      <c r="C108" t="str">
        <f t="shared" si="2"/>
        <v>S12</v>
      </c>
      <c r="E108" t="str">
        <f>[1]!RegExpSubstitute(MID(H108,FIND("- ",H108)+2,FIND("- ",H108,FIND("- ",H108)+1)-FIND("- ",H108)-2),"\&amp;quot\;.*\&amp;quot\;\W","")</f>
        <v xml:space="preserve">Ja'brill Tuck </v>
      </c>
      <c r="G108">
        <f t="shared" si="3"/>
        <v>273</v>
      </c>
      <c r="H108" t="s">
        <v>320</v>
      </c>
    </row>
    <row r="109" spans="1:8" x14ac:dyDescent="0.25">
      <c r="A109">
        <f>COUNTIF($B$2:$B$375,B109)</f>
        <v>1</v>
      </c>
      <c r="B109" t="str">
        <f>[1]!Numerize(MID(H109,FIND("=",H109),10))</f>
        <v>10524</v>
      </c>
      <c r="C109" t="str">
        <f t="shared" si="2"/>
        <v>S12</v>
      </c>
      <c r="E109" t="str">
        <f>[1]!RegExpSubstitute(MID(H109,FIND("- ",H109)+2,FIND("- ",H109,FIND("- ",H109)+1)-FIND("- ",H109)-2),"\&amp;quot\;.*\&amp;quot\;\W","")</f>
        <v xml:space="preserve">James Bishop </v>
      </c>
      <c r="G109">
        <f t="shared" si="3"/>
        <v>666</v>
      </c>
      <c r="H109" t="s">
        <v>225</v>
      </c>
    </row>
    <row r="110" spans="1:8" x14ac:dyDescent="0.25">
      <c r="A110">
        <f>COUNTIF($B$2:$B$375,B110)</f>
        <v>1</v>
      </c>
      <c r="B110" t="str">
        <f>[1]!Numerize(MID(H110,FIND("=",H110),10))</f>
        <v>10911</v>
      </c>
      <c r="C110" t="str">
        <f t="shared" si="2"/>
        <v>S12</v>
      </c>
      <c r="E110" t="str">
        <f>[1]!RegExpSubstitute(MID(H110,FIND("- ",H110)+2,FIND("- ",H110,FIND("- ",H110)+1)-FIND("- ",H110)-2),"\&amp;quot\;.*\&amp;quot\;\W","")</f>
        <v xml:space="preserve">James Wade </v>
      </c>
      <c r="G110">
        <f t="shared" si="3"/>
        <v>57</v>
      </c>
      <c r="H110" t="s">
        <v>25</v>
      </c>
    </row>
    <row r="111" spans="1:8" x14ac:dyDescent="0.25">
      <c r="A111">
        <f>COUNTIF($B$2:$B$375,B111)</f>
        <v>1</v>
      </c>
      <c r="B111" t="str">
        <f>[1]!Numerize(MID(H111,FIND("=",H111),10))</f>
        <v>10738</v>
      </c>
      <c r="C111" t="str">
        <f t="shared" si="2"/>
        <v>S12</v>
      </c>
      <c r="E111" t="str">
        <f>[1]!RegExpSubstitute(MID(H111,FIND("- ",H111)+2,FIND("- ",H111,FIND("- ",H111)+1)-FIND("- ",H111)-2),"\&amp;quot\;.*\&amp;quot\;\W","")</f>
        <v xml:space="preserve">Jeff Jefferson IV </v>
      </c>
      <c r="G111">
        <f t="shared" si="3"/>
        <v>182</v>
      </c>
      <c r="H111" t="s">
        <v>346</v>
      </c>
    </row>
    <row r="112" spans="1:8" x14ac:dyDescent="0.25">
      <c r="A112">
        <f>COUNTIF($B$2:$B$375,B112)</f>
        <v>1</v>
      </c>
      <c r="B112" t="str">
        <f>[1]!Numerize(MID(H112,FIND("=",H112),10))</f>
        <v>10668</v>
      </c>
      <c r="C112" t="str">
        <f t="shared" si="2"/>
        <v>S12</v>
      </c>
      <c r="E112" t="str">
        <f>[1]!RegExpSubstitute(MID(H112,FIND("- ",H112)+2,FIND("- ",H112,FIND("- ",H112)+1)-FIND("- ",H112)-2),"\&amp;quot\;.*\&amp;quot\;\W","")</f>
        <v xml:space="preserve">Jeffery Murphy </v>
      </c>
      <c r="G112">
        <f t="shared" si="3"/>
        <v>240</v>
      </c>
      <c r="H112" t="s">
        <v>179</v>
      </c>
    </row>
    <row r="113" spans="1:8" x14ac:dyDescent="0.25">
      <c r="A113">
        <f>COUNTIF($B$2:$B$375,B113)</f>
        <v>1</v>
      </c>
      <c r="B113" t="str">
        <f>[1]!Numerize(MID(H113,FIND("=",H113),10))</f>
        <v>10967</v>
      </c>
      <c r="C113" t="str">
        <f t="shared" si="2"/>
        <v>S12</v>
      </c>
      <c r="E113" t="str">
        <f>[1]!RegExpSubstitute(MID(H113,FIND("- ",H113)+2,FIND("- ",H113,FIND("- ",H113)+1)-FIND("- ",H113)-2),"\&amp;quot\;.*\&amp;quot\;\W","")</f>
        <v xml:space="preserve">Joey Sachs </v>
      </c>
      <c r="G113">
        <f t="shared" si="3"/>
        <v>162</v>
      </c>
      <c r="H113" t="s">
        <v>218</v>
      </c>
    </row>
    <row r="114" spans="1:8" x14ac:dyDescent="0.25">
      <c r="A114">
        <f>COUNTIF($B$2:$B$375,B114)</f>
        <v>1</v>
      </c>
      <c r="B114" t="str">
        <f>[1]!Numerize(MID(H114,FIND("=",H114),10))</f>
        <v>10973</v>
      </c>
      <c r="C114" t="str">
        <f t="shared" si="2"/>
        <v>S12</v>
      </c>
      <c r="E114" t="str">
        <f>[1]!RegExpSubstitute(MID(H114,FIND("- ",H114)+2,FIND("- ",H114,FIND("- ",H114)+1)-FIND("- ",H114)-2),"\&amp;quot\;.*\&amp;quot\;\W","")</f>
        <v xml:space="preserve">Jon Gott </v>
      </c>
      <c r="G114">
        <f t="shared" si="3"/>
        <v>148</v>
      </c>
      <c r="H114" t="s">
        <v>136</v>
      </c>
    </row>
    <row r="115" spans="1:8" x14ac:dyDescent="0.25">
      <c r="A115">
        <f>COUNTIF($B$2:$B$375,B115)</f>
        <v>1</v>
      </c>
      <c r="B115" t="str">
        <f>[1]!Numerize(MID(H115,FIND("=",H115),10))</f>
        <v>10712</v>
      </c>
      <c r="C115" t="str">
        <f t="shared" si="2"/>
        <v>S12</v>
      </c>
      <c r="E115" t="str">
        <f>[1]!RegExpSubstitute(MID(H115,FIND("- ",H115)+2,FIND("- ",H115,FIND("- ",H115)+1)-FIND("- ",H115)-2),"\&amp;quot\;.*\&amp;quot\;\W","")</f>
        <v xml:space="preserve">Jonathan Towers </v>
      </c>
      <c r="G115">
        <f t="shared" si="3"/>
        <v>182</v>
      </c>
      <c r="H115" t="s">
        <v>220</v>
      </c>
    </row>
    <row r="116" spans="1:8" x14ac:dyDescent="0.25">
      <c r="A116">
        <f>COUNTIF($B$2:$B$375,B116)</f>
        <v>1</v>
      </c>
      <c r="B116" t="str">
        <f>[1]!Numerize(MID(H116,FIND("=",H116),10))</f>
        <v>11019</v>
      </c>
      <c r="C116" t="str">
        <f t="shared" si="2"/>
        <v>S12</v>
      </c>
      <c r="E116" t="str">
        <f>[1]!RegExpSubstitute(MID(H116,FIND("- ",H116)+2,FIND("- ",H116,FIND("- ",H116)+1)-FIND("- ",H116)-2),"\&amp;quot\;.*\&amp;quot\;\W","")</f>
        <v xml:space="preserve">Jorel Tuck </v>
      </c>
      <c r="G116">
        <f t="shared" si="3"/>
        <v>484</v>
      </c>
      <c r="H116" t="s">
        <v>322</v>
      </c>
    </row>
    <row r="117" spans="1:8" x14ac:dyDescent="0.25">
      <c r="A117">
        <f>COUNTIF($B$2:$B$375,B117)</f>
        <v>1</v>
      </c>
      <c r="B117" t="str">
        <f>[1]!Numerize(MID(H117,FIND("=",H117),10))</f>
        <v>10792</v>
      </c>
      <c r="C117" t="str">
        <f t="shared" si="2"/>
        <v>S12</v>
      </c>
      <c r="E117" t="str">
        <f>[1]!RegExpSubstitute(MID(H117,FIND("- ",H117)+2,FIND("- ",H117,FIND("- ",H117)+1)-FIND("- ",H117)-2),"\&amp;quot\;.*\&amp;quot\;\W","")</f>
        <v xml:space="preserve">Krispy Kreme </v>
      </c>
      <c r="G117">
        <f t="shared" si="3"/>
        <v>178</v>
      </c>
      <c r="H117" t="s">
        <v>26</v>
      </c>
    </row>
    <row r="118" spans="1:8" x14ac:dyDescent="0.25">
      <c r="A118">
        <f>COUNTIF($B$2:$B$375,B118)</f>
        <v>1</v>
      </c>
      <c r="B118" t="str">
        <f>[1]!Numerize(MID(H118,FIND("=",H118),10))</f>
        <v>10573</v>
      </c>
      <c r="C118" t="str">
        <f t="shared" si="2"/>
        <v>S12</v>
      </c>
      <c r="E118" t="str">
        <f>[1]!RegExpSubstitute(MID(H118,FIND("- ",H118)+2,FIND("- ",H118,FIND("- ",H118)+1)-FIND("- ",H118)-2),"\&amp;quot\;.*\&amp;quot\;\W","")</f>
        <v xml:space="preserve">Logan Lejune </v>
      </c>
      <c r="G118">
        <f t="shared" si="3"/>
        <v>485</v>
      </c>
      <c r="H118" t="s">
        <v>223</v>
      </c>
    </row>
    <row r="119" spans="1:8" x14ac:dyDescent="0.25">
      <c r="A119">
        <f>COUNTIF($B$2:$B$375,B119)</f>
        <v>1</v>
      </c>
      <c r="B119" t="str">
        <f>[1]!Numerize(MID(H119,FIND("=",H119),10))</f>
        <v>10523</v>
      </c>
      <c r="C119" t="str">
        <f t="shared" si="2"/>
        <v>S12</v>
      </c>
      <c r="E119" t="str">
        <f>[1]!RegExpSubstitute(MID(H119,FIND("- ",H119)+2,FIND("- ",H119,FIND("- ",H119)+1)-FIND("- ",H119)-2),"\&amp;quot\;.*\&amp;quot\;\W","")</f>
        <v xml:space="preserve">Luke Boechler </v>
      </c>
      <c r="G119">
        <f t="shared" si="3"/>
        <v>282</v>
      </c>
      <c r="H119" t="s">
        <v>27</v>
      </c>
    </row>
    <row r="120" spans="1:8" x14ac:dyDescent="0.25">
      <c r="A120">
        <f>COUNTIF($B$2:$B$375,B120)</f>
        <v>1</v>
      </c>
      <c r="B120" t="str">
        <f>[1]!Numerize(MID(H120,FIND("=",H120),10))</f>
        <v>10638</v>
      </c>
      <c r="C120" t="str">
        <f t="shared" si="2"/>
        <v>S12</v>
      </c>
      <c r="E120" t="str">
        <f>[1]!RegExpSubstitute(MID(H120,FIND("- ",H120)+2,FIND("- ",H120,FIND("- ",H120)+1)-FIND("- ",H120)-2),"\&amp;quot\;.*\&amp;quot\;\W","")</f>
        <v xml:space="preserve">Luke Smyles </v>
      </c>
      <c r="G120">
        <f t="shared" si="3"/>
        <v>414</v>
      </c>
      <c r="H120" t="s">
        <v>304</v>
      </c>
    </row>
    <row r="121" spans="1:8" x14ac:dyDescent="0.25">
      <c r="A121">
        <f>COUNTIF($B$2:$B$375,B121)</f>
        <v>1</v>
      </c>
      <c r="B121" t="str">
        <f>[1]!Numerize(MID(H121,FIND("=",H121),10))</f>
        <v>11045</v>
      </c>
      <c r="C121" t="str">
        <f t="shared" si="2"/>
        <v>S12</v>
      </c>
      <c r="E121" t="str">
        <f>[1]!RegExpSubstitute(MID(H121,FIND("- ",H121)+2,FIND("- ",H121,FIND("- ",H121)+1)-FIND("- ",H121)-2),"\&amp;quot\;.*\&amp;quot\;\W","")</f>
        <v xml:space="preserve">Neo Donaldson </v>
      </c>
      <c r="G121">
        <f t="shared" si="3"/>
        <v>257</v>
      </c>
      <c r="H121" t="s">
        <v>321</v>
      </c>
    </row>
    <row r="122" spans="1:8" x14ac:dyDescent="0.25">
      <c r="A122">
        <f>COUNTIF($B$2:$B$375,B122)</f>
        <v>1</v>
      </c>
      <c r="B122" t="str">
        <f>[1]!Numerize(MID(H122,FIND("=",H122),10))</f>
        <v>11027</v>
      </c>
      <c r="C122" t="str">
        <f t="shared" si="2"/>
        <v>S12</v>
      </c>
      <c r="E122" t="str">
        <f>[1]!RegExpSubstitute(MID(H122,FIND("- ",H122)+2,FIND("- ",H122,FIND("- ",H122)+1)-FIND("- ",H122)-2),"\&amp;quot\;.*\&amp;quot\;\W","")</f>
        <v xml:space="preserve">Pecker Cox </v>
      </c>
      <c r="G122">
        <f t="shared" si="3"/>
        <v>126</v>
      </c>
      <c r="H122" t="s">
        <v>344</v>
      </c>
    </row>
    <row r="123" spans="1:8" x14ac:dyDescent="0.25">
      <c r="A123">
        <f>COUNTIF($B$2:$B$375,B123)</f>
        <v>1</v>
      </c>
      <c r="B123" t="str">
        <f>[1]!Numerize(MID(H123,FIND("=",H123),10))</f>
        <v>11030</v>
      </c>
      <c r="C123" t="str">
        <f t="shared" si="2"/>
        <v>S12</v>
      </c>
      <c r="E123" t="str">
        <f>[1]!RegExpSubstitute(MID(H123,FIND("- ",H123)+2,FIND("- ",H123,FIND("- ",H123)+1)-FIND("- ",H123)-2),"\&amp;quot\;.*\&amp;quot\;\W","")</f>
        <v xml:space="preserve">Raymond Vans </v>
      </c>
      <c r="G123">
        <f t="shared" si="3"/>
        <v>406</v>
      </c>
      <c r="H123" t="s">
        <v>176</v>
      </c>
    </row>
    <row r="124" spans="1:8" x14ac:dyDescent="0.25">
      <c r="A124">
        <f>COUNTIF($B$2:$B$375,B124)</f>
        <v>1</v>
      </c>
      <c r="B124" t="str">
        <f>[1]!Numerize(MID(H124,FIND("=",H124),10))</f>
        <v>10470</v>
      </c>
      <c r="C124" t="str">
        <f t="shared" si="2"/>
        <v>S12</v>
      </c>
      <c r="E124" t="str">
        <f>[1]!RegExpSubstitute(MID(H124,FIND("- ",H124)+2,FIND("- ",H124,FIND("- ",H124)+1)-FIND("- ",H124)-2),"\&amp;quot\;.*\&amp;quot\;\W","")</f>
        <v xml:space="preserve">Roderick Castleberry </v>
      </c>
      <c r="G124">
        <f t="shared" si="3"/>
        <v>95</v>
      </c>
      <c r="H124" t="s">
        <v>104</v>
      </c>
    </row>
    <row r="125" spans="1:8" x14ac:dyDescent="0.25">
      <c r="A125">
        <f>COUNTIF($B$2:$B$375,B125)</f>
        <v>1</v>
      </c>
      <c r="B125" t="str">
        <f>[1]!Numerize(MID(H125,FIND("=",H125),10))</f>
        <v>10886</v>
      </c>
      <c r="C125" t="str">
        <f t="shared" si="2"/>
        <v>S12</v>
      </c>
      <c r="E125" t="str">
        <f>[1]!RegExpSubstitute(MID(H125,FIND("- ",H125)+2,FIND("- ",H125,FIND("- ",H125)+1)-FIND("- ",H125)-2),"\&amp;quot\;.*\&amp;quot\;\W","")</f>
        <v xml:space="preserve">Roman Stakowski </v>
      </c>
      <c r="G125">
        <f t="shared" si="3"/>
        <v>227</v>
      </c>
      <c r="H125" t="s">
        <v>101</v>
      </c>
    </row>
    <row r="126" spans="1:8" x14ac:dyDescent="0.25">
      <c r="A126">
        <f>COUNTIF($B$2:$B$375,B126)</f>
        <v>1</v>
      </c>
      <c r="B126" t="str">
        <f>[1]!Numerize(MID(H126,FIND("=",H126),10))</f>
        <v>10732</v>
      </c>
      <c r="C126" t="str">
        <f t="shared" si="2"/>
        <v>S12</v>
      </c>
      <c r="E126" t="str">
        <f>[1]!RegExpSubstitute(MID(H126,FIND("- ",H126)+2,FIND("- ",H126,FIND("- ",H126)+1)-FIND("- ",H126)-2),"\&amp;quot\;.*\&amp;quot\;\W","")</f>
        <v xml:space="preserve">Ronnie Williams </v>
      </c>
      <c r="G126">
        <f t="shared" si="3"/>
        <v>124</v>
      </c>
      <c r="H126" t="s">
        <v>323</v>
      </c>
    </row>
    <row r="127" spans="1:8" x14ac:dyDescent="0.25">
      <c r="A127">
        <f>COUNTIF($B$2:$B$375,B127)</f>
        <v>1</v>
      </c>
      <c r="B127" t="str">
        <f>[1]!Numerize(MID(H127,FIND("=",H127),10))</f>
        <v>10941</v>
      </c>
      <c r="C127" t="str">
        <f t="shared" si="2"/>
        <v>S12</v>
      </c>
      <c r="E127" t="str">
        <f>[1]!RegExpSubstitute(MID(H127,FIND("- ",H127)+2,FIND("- ",H127,FIND("- ",H127)+1)-FIND("- ",H127)-2),"\&amp;quot\;.*\&amp;quot\;\W","")</f>
        <v xml:space="preserve">Rylant Wright </v>
      </c>
      <c r="G127">
        <f t="shared" si="3"/>
        <v>167</v>
      </c>
      <c r="H127" t="s">
        <v>265</v>
      </c>
    </row>
    <row r="128" spans="1:8" x14ac:dyDescent="0.25">
      <c r="A128">
        <f>COUNTIF($B$2:$B$375,B128)</f>
        <v>1</v>
      </c>
      <c r="B128" t="str">
        <f>[1]!Numerize(MID(H128,FIND("=",H128),10))</f>
        <v>10550</v>
      </c>
      <c r="C128" t="str">
        <f t="shared" si="2"/>
        <v>S12</v>
      </c>
      <c r="E128" t="str">
        <f>[1]!RegExpSubstitute(MID(H128,FIND("- ",H128)+2,FIND("- ",H128,FIND("- ",H128)+1)-FIND("- ",H128)-2),"\&amp;quot\;.*\&amp;quot\;\W","")</f>
        <v xml:space="preserve">Sam Garrad </v>
      </c>
      <c r="G128">
        <f t="shared" si="3"/>
        <v>249</v>
      </c>
      <c r="H128" t="s">
        <v>224</v>
      </c>
    </row>
    <row r="129" spans="1:8" x14ac:dyDescent="0.25">
      <c r="A129">
        <f>COUNTIF($B$2:$B$375,B129)</f>
        <v>1</v>
      </c>
      <c r="B129" t="str">
        <f>[1]!Numerize(MID(H129,FIND("=",H129),10))</f>
        <v>10466</v>
      </c>
      <c r="C129" t="str">
        <f t="shared" si="2"/>
        <v>S12</v>
      </c>
      <c r="E129" t="str">
        <f>[1]!RegExpSubstitute(MID(H129,FIND("- ",H129)+2,FIND("- ",H129,FIND("- ",H129)+1)-FIND("- ",H129)-2),"\&amp;quot\;.*\&amp;quot\;\W","")</f>
        <v xml:space="preserve">Sam Hardwick </v>
      </c>
      <c r="G129">
        <f t="shared" si="3"/>
        <v>396</v>
      </c>
      <c r="H129" t="s">
        <v>180</v>
      </c>
    </row>
    <row r="130" spans="1:8" x14ac:dyDescent="0.25">
      <c r="A130">
        <f>COUNTIF($B$2:$B$375,B130)</f>
        <v>1</v>
      </c>
      <c r="B130" t="str">
        <f>[1]!Numerize(MID(H130,FIND("=",H130),10))</f>
        <v>10984</v>
      </c>
      <c r="C130" t="str">
        <f t="shared" si="2"/>
        <v>S12</v>
      </c>
      <c r="E130" t="str">
        <f>[1]!RegExpSubstitute(MID(H130,FIND("- ",H130)+2,FIND("- ",H130,FIND("- ",H130)+1)-FIND("- ",H130)-2),"\&amp;quot\;.*\&amp;quot\;\W","")</f>
        <v xml:space="preserve">Shane Trigg </v>
      </c>
      <c r="G130">
        <f t="shared" si="3"/>
        <v>50</v>
      </c>
      <c r="H130" t="s">
        <v>239</v>
      </c>
    </row>
    <row r="131" spans="1:8" x14ac:dyDescent="0.25">
      <c r="A131">
        <f>COUNTIF($B$2:$B$375,B131)</f>
        <v>1</v>
      </c>
      <c r="B131" t="str">
        <f>[1]!Numerize(MID(H131,FIND("=",H131),10))</f>
        <v>10834</v>
      </c>
      <c r="C131" t="str">
        <f t="shared" ref="C131:C194" si="4">MID(H131,FIND("(",H131)+1,FIND(")",H131)-FIND("(",H131)-1)</f>
        <v>S12</v>
      </c>
      <c r="E131" t="str">
        <f>[1]!RegExpSubstitute(MID(H131,FIND("- ",H131)+2,FIND("- ",H131,FIND("- ",H131)+1)-FIND("- ",H131)-2),"\&amp;quot\;.*\&amp;quot\;\W","")</f>
        <v xml:space="preserve">Soupy McBrain </v>
      </c>
      <c r="G131">
        <f t="shared" ref="G131:G194" si="5">MID(H131,FIND("TPE: ",H131)+5,FIND(", ",H131,FIND("TPE: ",H131))-FIND("TPE: ",H131)-5)+0</f>
        <v>155</v>
      </c>
      <c r="H131" t="s">
        <v>219</v>
      </c>
    </row>
    <row r="132" spans="1:8" x14ac:dyDescent="0.25">
      <c r="A132">
        <f>COUNTIF($B$2:$B$375,B132)</f>
        <v>1</v>
      </c>
      <c r="B132" t="str">
        <f>[1]!Numerize(MID(H132,FIND("=",H132),10))</f>
        <v>11032</v>
      </c>
      <c r="C132" t="str">
        <f t="shared" si="4"/>
        <v>S12</v>
      </c>
      <c r="E132" t="str">
        <f>[1]!RegExpSubstitute(MID(H132,FIND("- ",H132)+2,FIND("- ",H132,FIND("- ",H132)+1)-FIND("- ",H132)-2),"\&amp;quot\;.*\&amp;quot\;\W","")</f>
        <v xml:space="preserve">Stayve Jerome Thomas </v>
      </c>
      <c r="G132">
        <f t="shared" si="5"/>
        <v>135</v>
      </c>
      <c r="H132" t="s">
        <v>24</v>
      </c>
    </row>
    <row r="133" spans="1:8" x14ac:dyDescent="0.25">
      <c r="A133">
        <f>COUNTIF($B$2:$B$375,B133)</f>
        <v>1</v>
      </c>
      <c r="B133" t="str">
        <f>[1]!Numerize(MID(H133,FIND("=",H133),10))</f>
        <v>10454</v>
      </c>
      <c r="C133" t="str">
        <f t="shared" si="4"/>
        <v>S12</v>
      </c>
      <c r="E133" t="str">
        <f>[1]!RegExpSubstitute(MID(H133,FIND("- ",H133)+2,FIND("- ",H133,FIND("- ",H133)+1)-FIND("- ",H133)-2),"\&amp;quot\;.*\&amp;quot\;\W","")</f>
        <v xml:space="preserve">Thomas Clark </v>
      </c>
      <c r="G133">
        <f t="shared" si="5"/>
        <v>125</v>
      </c>
      <c r="H133" t="s">
        <v>167</v>
      </c>
    </row>
    <row r="134" spans="1:8" x14ac:dyDescent="0.25">
      <c r="A134">
        <f>COUNTIF($B$2:$B$375,B134)</f>
        <v>1</v>
      </c>
      <c r="B134" t="str">
        <f>[1]!Numerize(MID(H134,FIND("=",H134),10))</f>
        <v>10617</v>
      </c>
      <c r="C134" t="str">
        <f t="shared" si="4"/>
        <v>S12</v>
      </c>
      <c r="E134" t="str">
        <f>[1]!RegExpSubstitute(MID(H134,FIND("- ",H134)+2,FIND("- ",H134,FIND("- ",H134)+1)-FIND("- ",H134)-2),"\&amp;quot\;.*\&amp;quot\;\W","")</f>
        <v xml:space="preserve">Thomas Nova </v>
      </c>
      <c r="G134">
        <f t="shared" si="5"/>
        <v>50</v>
      </c>
      <c r="H134" t="s">
        <v>166</v>
      </c>
    </row>
    <row r="135" spans="1:8" x14ac:dyDescent="0.25">
      <c r="A135">
        <f>COUNTIF($B$2:$B$375,B135)</f>
        <v>1</v>
      </c>
      <c r="B135" t="str">
        <f>[1]!Numerize(MID(H135,FIND("=",H135),10))</f>
        <v>10568</v>
      </c>
      <c r="C135" t="str">
        <f t="shared" si="4"/>
        <v>S12</v>
      </c>
      <c r="E135" t="str">
        <f>[1]!RegExpSubstitute(MID(H135,FIND("- ",H135)+2,FIND("- ",H135,FIND("- ",H135)+1)-FIND("- ",H135)-2),"\&amp;quot\;.*\&amp;quot\;\W","")</f>
        <v xml:space="preserve">Thorian Skarsgard </v>
      </c>
      <c r="G135">
        <f t="shared" si="5"/>
        <v>512</v>
      </c>
      <c r="H135" t="s">
        <v>284</v>
      </c>
    </row>
    <row r="136" spans="1:8" x14ac:dyDescent="0.25">
      <c r="A136">
        <f>COUNTIF($B$2:$B$375,B136)</f>
        <v>1</v>
      </c>
      <c r="B136" t="str">
        <f>[1]!Numerize(MID(H136,FIND("=",H136),10))</f>
        <v>11004</v>
      </c>
      <c r="C136" t="str">
        <f t="shared" si="4"/>
        <v>S12</v>
      </c>
      <c r="E136" t="str">
        <f>[1]!RegExpSubstitute(MID(H136,FIND("- ",H136)+2,FIND("- ",H136,FIND("- ",H136)+1)-FIND("- ",H136)-2),"\&amp;quot\;.*\&amp;quot\;\W","")</f>
        <v xml:space="preserve">Tommy Helanen </v>
      </c>
      <c r="G136">
        <f t="shared" si="5"/>
        <v>439</v>
      </c>
      <c r="H136" t="s">
        <v>345</v>
      </c>
    </row>
    <row r="137" spans="1:8" x14ac:dyDescent="0.25">
      <c r="A137">
        <f>COUNTIF($B$2:$B$375,B137)</f>
        <v>1</v>
      </c>
      <c r="B137" t="str">
        <f>[1]!Numerize(MID(H137,FIND("=",H137),10))</f>
        <v>10982</v>
      </c>
      <c r="C137" t="str">
        <f t="shared" si="4"/>
        <v>S12</v>
      </c>
      <c r="E137" t="str">
        <f>[1]!RegExpSubstitute(MID(H137,FIND("- ",H137)+2,FIND("- ",H137,FIND("- ",H137)+1)-FIND("- ",H137)-2),"\&amp;quot\;.*\&amp;quot\;\W","")</f>
        <v xml:space="preserve">Tommy Salami </v>
      </c>
      <c r="G137">
        <f t="shared" si="5"/>
        <v>216</v>
      </c>
      <c r="H137" t="s">
        <v>282</v>
      </c>
    </row>
    <row r="138" spans="1:8" x14ac:dyDescent="0.25">
      <c r="A138">
        <f>COUNTIF($B$2:$B$375,B138)</f>
        <v>1</v>
      </c>
      <c r="B138" t="str">
        <f>[1]!Numerize(MID(H138,FIND("=",H138),10))</f>
        <v>10671</v>
      </c>
      <c r="C138" t="str">
        <f t="shared" si="4"/>
        <v>S12</v>
      </c>
      <c r="E138" t="str">
        <f>[1]!RegExpSubstitute(MID(H138,FIND("- ",H138)+2,FIND("- ",H138,FIND("- ",H138)+1)-FIND("- ",H138)-2),"\&amp;quot\;.*\&amp;quot\;\W","")</f>
        <v xml:space="preserve">Trey Staley </v>
      </c>
      <c r="G138">
        <f t="shared" si="5"/>
        <v>429</v>
      </c>
      <c r="H138" t="s">
        <v>324</v>
      </c>
    </row>
    <row r="139" spans="1:8" x14ac:dyDescent="0.25">
      <c r="A139">
        <f>COUNTIF($B$2:$B$375,B139)</f>
        <v>1</v>
      </c>
      <c r="B139" t="str">
        <f>[1]!Numerize(MID(H139,FIND("=",H139),10))</f>
        <v>11163</v>
      </c>
      <c r="C139" t="str">
        <f t="shared" si="4"/>
        <v>S13</v>
      </c>
      <c r="E139" t="str">
        <f>[1]!RegExpSubstitute(MID(H139,FIND("- ",H139)+2,FIND("- ",H139,FIND("- ",H139)+1)-FIND("- ",H139)-2),"\&amp;quot\;.*\&amp;quot\;\W","")</f>
        <v xml:space="preserve">Alex Frost </v>
      </c>
      <c r="G139">
        <f t="shared" si="5"/>
        <v>141</v>
      </c>
      <c r="H139" t="s">
        <v>200</v>
      </c>
    </row>
    <row r="140" spans="1:8" x14ac:dyDescent="0.25">
      <c r="A140">
        <f>COUNTIF($B$2:$B$375,B140)</f>
        <v>1</v>
      </c>
      <c r="B140" t="str">
        <f>[1]!Numerize(MID(H140,FIND("=",H140),10))</f>
        <v>11077</v>
      </c>
      <c r="C140" t="str">
        <f t="shared" si="4"/>
        <v>S13</v>
      </c>
      <c r="E140" t="str">
        <f>[1]!RegExpSubstitute(MID(H140,FIND("- ",H140)+2,FIND("- ",H140,FIND("- ",H140)+1)-FIND("- ",H140)-2),"\&amp;quot\;.*\&amp;quot\;\W","")</f>
        <v xml:space="preserve">Benson Harris </v>
      </c>
      <c r="G140">
        <f t="shared" si="5"/>
        <v>398</v>
      </c>
      <c r="H140" t="s">
        <v>264</v>
      </c>
    </row>
    <row r="141" spans="1:8" x14ac:dyDescent="0.25">
      <c r="A141">
        <f>COUNTIF($B$2:$B$375,B141)</f>
        <v>1</v>
      </c>
      <c r="B141" t="str">
        <f>[1]!Numerize(MID(H141,FIND("=",H141),10))</f>
        <v>11082</v>
      </c>
      <c r="C141" t="str">
        <f t="shared" si="4"/>
        <v>S13</v>
      </c>
      <c r="E141" t="str">
        <f>[1]!RegExpSubstitute(MID(H141,FIND("- ",H141)+2,FIND("- ",H141,FIND("- ",H141)+1)-FIND("- ",H141)-2),"\&amp;quot\;.*\&amp;quot\;\W","")</f>
        <v xml:space="preserve">Blake McCargue </v>
      </c>
      <c r="G141">
        <f t="shared" si="5"/>
        <v>143</v>
      </c>
      <c r="H141" t="s">
        <v>374</v>
      </c>
    </row>
    <row r="142" spans="1:8" x14ac:dyDescent="0.25">
      <c r="A142">
        <f>COUNTIF($B$2:$B$375,B142)</f>
        <v>1</v>
      </c>
      <c r="B142" t="str">
        <f>[1]!Numerize(MID(H142,FIND("=",H142),10))</f>
        <v>11532</v>
      </c>
      <c r="C142" t="str">
        <f t="shared" si="4"/>
        <v>S13</v>
      </c>
      <c r="E142" t="str">
        <f>[1]!RegExpSubstitute(MID(H142,FIND("- ",H142)+2,FIND("- ",H142,FIND("- ",H142)+1)-FIND("- ",H142)-2),"\&amp;quot\;.*\&amp;quot\;\W","")</f>
        <v xml:space="preserve">Bona'beri Jones </v>
      </c>
      <c r="G142">
        <f t="shared" si="5"/>
        <v>166</v>
      </c>
      <c r="H142" t="s">
        <v>99</v>
      </c>
    </row>
    <row r="143" spans="1:8" x14ac:dyDescent="0.25">
      <c r="A143">
        <f>COUNTIF($B$2:$B$375,B143)</f>
        <v>1</v>
      </c>
      <c r="B143" t="str">
        <f>[1]!Numerize(MID(H143,FIND("=",H143),10))</f>
        <v>11072</v>
      </c>
      <c r="C143" t="str">
        <f t="shared" si="4"/>
        <v>S13</v>
      </c>
      <c r="E143" t="str">
        <f>[1]!RegExpSubstitute(MID(H143,FIND("- ",H143)+2,FIND("- ",H143,FIND("- ",H143)+1)-FIND("- ",H143)-2),"\&amp;quot\;.*\&amp;quot\;\W","")</f>
        <v xml:space="preserve">Caleb McCoy </v>
      </c>
      <c r="G143">
        <f t="shared" si="5"/>
        <v>231</v>
      </c>
      <c r="H143" t="s">
        <v>100</v>
      </c>
    </row>
    <row r="144" spans="1:8" x14ac:dyDescent="0.25">
      <c r="A144">
        <f>COUNTIF($B$2:$B$375,B144)</f>
        <v>1</v>
      </c>
      <c r="B144" t="str">
        <f>[1]!Numerize(MID(H144,FIND("=",H144),10))</f>
        <v>11408</v>
      </c>
      <c r="C144" t="str">
        <f t="shared" si="4"/>
        <v>S13</v>
      </c>
      <c r="E144" t="str">
        <f>[1]!RegExpSubstitute(MID(H144,FIND("- ",H144)+2,FIND("- ",H144,FIND("- ",H144)+1)-FIND("- ",H144)-2),"\&amp;quot\;.*\&amp;quot\;\W","")</f>
        <v xml:space="preserve">Chris Steele </v>
      </c>
      <c r="G144">
        <f t="shared" si="5"/>
        <v>142</v>
      </c>
      <c r="H144" t="s">
        <v>302</v>
      </c>
    </row>
    <row r="145" spans="1:8" x14ac:dyDescent="0.25">
      <c r="A145">
        <f>COUNTIF($B$2:$B$375,B145)</f>
        <v>1</v>
      </c>
      <c r="B145" t="str">
        <f>[1]!Numerize(MID(H145,FIND("=",H145),10))</f>
        <v>11114</v>
      </c>
      <c r="C145" t="str">
        <f t="shared" si="4"/>
        <v>S13</v>
      </c>
      <c r="E145" t="str">
        <f>[1]!RegExpSubstitute(MID(H145,FIND("- ",H145)+2,FIND("- ",H145,FIND("- ",H145)+1)-FIND("- ",H145)-2),"\&amp;quot\;.*\&amp;quot\;\W","")</f>
        <v xml:space="preserve">Corey Trevor </v>
      </c>
      <c r="G145">
        <f t="shared" si="5"/>
        <v>190</v>
      </c>
      <c r="H145" t="s">
        <v>199</v>
      </c>
    </row>
    <row r="146" spans="1:8" x14ac:dyDescent="0.25">
      <c r="A146">
        <f>COUNTIF($B$2:$B$375,B146)</f>
        <v>1</v>
      </c>
      <c r="B146" t="str">
        <f>[1]!Numerize(MID(H146,FIND("=",H146),10))</f>
        <v>11533</v>
      </c>
      <c r="C146" t="str">
        <f t="shared" si="4"/>
        <v>S13</v>
      </c>
      <c r="E146" t="str">
        <f>[1]!RegExpSubstitute(MID(H146,FIND("- ",H146)+2,FIND("- ",H146,FIND("- ",H146)+1)-FIND("- ",H146)-2),"\&amp;quot\;.*\&amp;quot\;\W","")</f>
        <v xml:space="preserve">Corwin Davenport </v>
      </c>
      <c r="G146">
        <f t="shared" si="5"/>
        <v>155</v>
      </c>
      <c r="H146" t="s">
        <v>301</v>
      </c>
    </row>
    <row r="147" spans="1:8" x14ac:dyDescent="0.25">
      <c r="A147">
        <f>COUNTIF($B$2:$B$375,B147)</f>
        <v>1</v>
      </c>
      <c r="B147" t="str">
        <f>[1]!Numerize(MID(H147,FIND("=",H147),10))</f>
        <v>11206</v>
      </c>
      <c r="C147" t="str">
        <f t="shared" si="4"/>
        <v>S13</v>
      </c>
      <c r="E147" t="str">
        <f>[1]!RegExpSubstitute(MID(H147,FIND("- ",H147)+2,FIND("- ",H147,FIND("- ",H147)+1)-FIND("- ",H147)-2),"\&amp;quot\;.*\&amp;quot\;\W","")</f>
        <v xml:space="preserve">David Ginsberg </v>
      </c>
      <c r="G147">
        <f t="shared" si="5"/>
        <v>279</v>
      </c>
      <c r="H147" t="s">
        <v>281</v>
      </c>
    </row>
    <row r="148" spans="1:8" x14ac:dyDescent="0.25">
      <c r="A148">
        <f>COUNTIF($B$2:$B$375,B148)</f>
        <v>1</v>
      </c>
      <c r="B148" t="str">
        <f>[1]!Numerize(MID(H148,FIND("=",H148),10))</f>
        <v>11150</v>
      </c>
      <c r="C148" t="str">
        <f t="shared" si="4"/>
        <v>S13</v>
      </c>
      <c r="E148" t="str">
        <f>[1]!RegExpSubstitute(MID(H148,FIND("- ",H148)+2,FIND("- ",H148,FIND("- ",H148)+1)-FIND("- ",H148)-2),"\&amp;quot\;.*\&amp;quot\;\W","")</f>
        <v xml:space="preserve">Dick Cheese Jr. </v>
      </c>
      <c r="G148">
        <f t="shared" si="5"/>
        <v>99</v>
      </c>
      <c r="H148" t="s">
        <v>163</v>
      </c>
    </row>
    <row r="149" spans="1:8" x14ac:dyDescent="0.25">
      <c r="A149">
        <f>COUNTIF($B$2:$B$375,B149)</f>
        <v>1</v>
      </c>
      <c r="B149" t="str">
        <f>[1]!Numerize(MID(H149,FIND("=",H149),10))</f>
        <v>11044</v>
      </c>
      <c r="C149" t="str">
        <f t="shared" si="4"/>
        <v>S13</v>
      </c>
      <c r="E149" t="str">
        <f>[1]!RegExpSubstitute(MID(H149,FIND("- ",H149)+2,FIND("- ",H149,FIND("- ",H149)+1)-FIND("- ",H149)-2),"\&amp;quot\;.*\&amp;quot\;\W","")</f>
        <v xml:space="preserve">Eric McStrong </v>
      </c>
      <c r="G149">
        <f t="shared" si="5"/>
        <v>50</v>
      </c>
      <c r="H149" t="s">
        <v>135</v>
      </c>
    </row>
    <row r="150" spans="1:8" x14ac:dyDescent="0.25">
      <c r="A150">
        <f>COUNTIF($B$2:$B$375,B150)</f>
        <v>1</v>
      </c>
      <c r="B150" t="str">
        <f>[1]!Numerize(MID(H150,FIND("=",H150),10))</f>
        <v>11075</v>
      </c>
      <c r="C150" t="str">
        <f t="shared" si="4"/>
        <v>S13</v>
      </c>
      <c r="E150" t="str">
        <f>[1]!RegExpSubstitute(MID(H150,FIND("- ",H150)+2,FIND("- ",H150,FIND("- ",H150)+1)-FIND("- ",H150)-2),"\&amp;quot\;.*\&amp;quot\;\W","")</f>
        <v xml:space="preserve">Harvey Danger </v>
      </c>
      <c r="G150">
        <f t="shared" si="5"/>
        <v>67</v>
      </c>
      <c r="H150" t="s">
        <v>238</v>
      </c>
    </row>
    <row r="151" spans="1:8" x14ac:dyDescent="0.25">
      <c r="A151">
        <f>COUNTIF($B$2:$B$375,B151)</f>
        <v>1</v>
      </c>
      <c r="B151" t="str">
        <f>[1]!Numerize(MID(H151,FIND("=",H151),10))</f>
        <v>11406</v>
      </c>
      <c r="C151" t="str">
        <f t="shared" si="4"/>
        <v>S13</v>
      </c>
      <c r="E151" t="str">
        <f>[1]!RegExpSubstitute(MID(H151,FIND("- ",H151)+2,FIND("- ",H151,FIND("- ",H151)+1)-FIND("- ",H151)-2),"\&amp;quot\;.*\&amp;quot\;\W","")</f>
        <v xml:space="preserve">J.N. Nova </v>
      </c>
      <c r="G151">
        <f t="shared" si="5"/>
        <v>108</v>
      </c>
      <c r="H151" t="s">
        <v>23</v>
      </c>
    </row>
    <row r="152" spans="1:8" x14ac:dyDescent="0.25">
      <c r="A152">
        <f>COUNTIF($B$2:$B$375,B152)</f>
        <v>1</v>
      </c>
      <c r="B152" t="str">
        <f>[1]!Numerize(MID(H152,FIND("=",H152),10))</f>
        <v>11074</v>
      </c>
      <c r="C152" t="str">
        <f t="shared" si="4"/>
        <v>S13</v>
      </c>
      <c r="E152" t="str">
        <f>[1]!RegExpSubstitute(MID(H152,FIND("- ",H152)+2,FIND("- ",H152,FIND("- ",H152)+1)-FIND("- ",H152)-2),"\&amp;quot\;.*\&amp;quot\;\W","")</f>
        <v xml:space="preserve">Jaren Haden </v>
      </c>
      <c r="G152">
        <f t="shared" si="5"/>
        <v>69</v>
      </c>
      <c r="H152" t="s">
        <v>174</v>
      </c>
    </row>
    <row r="153" spans="1:8" x14ac:dyDescent="0.25">
      <c r="A153">
        <f>COUNTIF($B$2:$B$375,B153)</f>
        <v>1</v>
      </c>
      <c r="B153" t="str">
        <f>[1]!Numerize(MID(H153,FIND("=",H153),10))</f>
        <v>11463</v>
      </c>
      <c r="C153" t="str">
        <f t="shared" si="4"/>
        <v>S13</v>
      </c>
      <c r="E153" t="str">
        <f>[1]!RegExpSubstitute(MID(H153,FIND("- ",H153)+2,FIND("- ",H153,FIND("- ",H153)+1)-FIND("- ",H153)-2),"\&amp;quot\;.*\&amp;quot\;\W","")</f>
        <v xml:space="preserve">Johnny Blaze </v>
      </c>
      <c r="G153">
        <f t="shared" si="5"/>
        <v>264</v>
      </c>
      <c r="H153" t="s">
        <v>280</v>
      </c>
    </row>
    <row r="154" spans="1:8" x14ac:dyDescent="0.25">
      <c r="A154">
        <f>COUNTIF($B$2:$B$375,B154)</f>
        <v>1</v>
      </c>
      <c r="B154" t="str">
        <f>[1]!Numerize(MID(H154,FIND("=",H154),10))</f>
        <v>11170</v>
      </c>
      <c r="C154" t="str">
        <f t="shared" si="4"/>
        <v>S13</v>
      </c>
      <c r="E154" t="str">
        <f>[1]!RegExpSubstitute(MID(H154,FIND("- ",H154)+2,FIND("- ",H154,FIND("- ",H154)+1)-FIND("- ",H154)-2),"\&amp;quot\;.*\&amp;quot\;\W","")</f>
        <v xml:space="preserve">Johnny Snuggles </v>
      </c>
      <c r="G154">
        <f t="shared" si="5"/>
        <v>484</v>
      </c>
      <c r="H154" t="s">
        <v>343</v>
      </c>
    </row>
    <row r="155" spans="1:8" x14ac:dyDescent="0.25">
      <c r="A155">
        <f>COUNTIF($B$2:$B$375,B155)</f>
        <v>1</v>
      </c>
      <c r="B155" t="str">
        <f>[1]!Numerize(MID(H155,FIND("=",H155),10))</f>
        <v>11043</v>
      </c>
      <c r="C155" t="str">
        <f t="shared" si="4"/>
        <v>S13</v>
      </c>
      <c r="E155" t="str">
        <f>[1]!RegExpSubstitute(MID(H155,FIND("- ",H155)+2,FIND("- ",H155,FIND("- ",H155)+1)-FIND("- ",H155)-2),"\&amp;quot\;.*\&amp;quot\;\W","")</f>
        <v xml:space="preserve">Jordan McCann </v>
      </c>
      <c r="G155">
        <f t="shared" si="5"/>
        <v>52</v>
      </c>
      <c r="H155" t="s">
        <v>175</v>
      </c>
    </row>
    <row r="156" spans="1:8" x14ac:dyDescent="0.25">
      <c r="A156">
        <f>COUNTIF($B$2:$B$375,B156)</f>
        <v>1</v>
      </c>
      <c r="B156" t="str">
        <f>[1]!Numerize(MID(H156,FIND("=",H156),10))</f>
        <v>11536</v>
      </c>
      <c r="C156" t="str">
        <f t="shared" si="4"/>
        <v>S13</v>
      </c>
      <c r="E156" t="str">
        <f>[1]!RegExpSubstitute(MID(H156,FIND("- ",H156)+2,FIND("- ",H156,FIND("- ",H156)+1)-FIND("- ",H156)-2),"\&amp;quot\;.*\&amp;quot\;\W","")</f>
        <v xml:space="preserve">Knute Knurtsson </v>
      </c>
      <c r="G156">
        <f t="shared" si="5"/>
        <v>165</v>
      </c>
      <c r="H156" t="s">
        <v>341</v>
      </c>
    </row>
    <row r="157" spans="1:8" x14ac:dyDescent="0.25">
      <c r="A157">
        <f>COUNTIF($B$2:$B$375,B157)</f>
        <v>1</v>
      </c>
      <c r="B157" t="str">
        <f>[1]!Numerize(MID(H157,FIND("=",H157),10))</f>
        <v>11500</v>
      </c>
      <c r="C157" t="str">
        <f t="shared" si="4"/>
        <v>S13</v>
      </c>
      <c r="E157" t="str">
        <f>[1]!RegExpSubstitute(MID(H157,FIND("- ",H157)+2,FIND("- ",H157,FIND("- ",H157)+1)-FIND("- ",H157)-2),"\&amp;quot\;.*\&amp;quot\;\W","")</f>
        <v xml:space="preserve">Kyle Frost </v>
      </c>
      <c r="G157">
        <f t="shared" si="5"/>
        <v>74</v>
      </c>
      <c r="H157" t="s">
        <v>162</v>
      </c>
    </row>
    <row r="158" spans="1:8" x14ac:dyDescent="0.25">
      <c r="A158">
        <f>COUNTIF($B$2:$B$375,B158)</f>
        <v>1</v>
      </c>
      <c r="B158" t="str">
        <f>[1]!Numerize(MID(H158,FIND("=",H158),10))</f>
        <v>11418</v>
      </c>
      <c r="C158" t="str">
        <f t="shared" si="4"/>
        <v>S13</v>
      </c>
      <c r="E158" t="str">
        <f>[1]!RegExpSubstitute(MID(H158,FIND("- ",H158)+2,FIND("- ",H158,FIND("- ",H158)+1)-FIND("- ",H158)-2),"\&amp;quot\;.*\&amp;quot\;\W","")</f>
        <v xml:space="preserve">Ladarius Ansong </v>
      </c>
      <c r="G158">
        <f t="shared" si="5"/>
        <v>50</v>
      </c>
      <c r="H158" t="s">
        <v>377</v>
      </c>
    </row>
    <row r="159" spans="1:8" x14ac:dyDescent="0.25">
      <c r="A159">
        <f>COUNTIF($B$2:$B$375,B159)</f>
        <v>1</v>
      </c>
      <c r="B159" t="str">
        <f>[1]!Numerize(MID(H159,FIND("=",H159),10))</f>
        <v>11451</v>
      </c>
      <c r="C159" t="str">
        <f t="shared" si="4"/>
        <v>S13</v>
      </c>
      <c r="E159" t="str">
        <f>[1]!RegExpSubstitute(MID(H159,FIND("- ",H159)+2,FIND("- ",H159,FIND("- ",H159)+1)-FIND("- ",H159)-2),"\&amp;quot\;.*\&amp;quot\;\W","")</f>
        <v xml:space="preserve">Nate Swift </v>
      </c>
      <c r="G159">
        <f t="shared" si="5"/>
        <v>304</v>
      </c>
      <c r="H159" t="s">
        <v>342</v>
      </c>
    </row>
    <row r="160" spans="1:8" x14ac:dyDescent="0.25">
      <c r="A160">
        <f>COUNTIF($B$2:$B$375,B160)</f>
        <v>1</v>
      </c>
      <c r="B160" t="str">
        <f>[1]!Numerize(MID(H160,FIND("=",H160),10))</f>
        <v>11444</v>
      </c>
      <c r="C160" t="str">
        <f t="shared" si="4"/>
        <v>S13</v>
      </c>
      <c r="E160" t="str">
        <f>[1]!RegExpSubstitute(MID(H160,FIND("- ",H160)+2,FIND("- ",H160,FIND("- ",H160)+1)-FIND("- ",H160)-2),"\&amp;quot\;.*\&amp;quot\;\W","")</f>
        <v xml:space="preserve">Rembrandt Khalil-Bugatti </v>
      </c>
      <c r="G160">
        <f t="shared" si="5"/>
        <v>63</v>
      </c>
      <c r="H160" t="s">
        <v>22</v>
      </c>
    </row>
    <row r="161" spans="1:8" x14ac:dyDescent="0.25">
      <c r="A161">
        <f>COUNTIF($B$2:$B$375,B161)</f>
        <v>1</v>
      </c>
      <c r="B161" t="str">
        <f>[1]!Numerize(MID(H161,FIND("=",H161),10))</f>
        <v>11274</v>
      </c>
      <c r="C161" t="str">
        <f t="shared" si="4"/>
        <v>S13</v>
      </c>
      <c r="E161" t="str">
        <f>[1]!RegExpSubstitute(MID(H161,FIND("- ",H161)+2,FIND("- ",H161,FIND("- ",H161)+1)-FIND("- ",H161)-2),"\&amp;quot\;.*\&amp;quot\;\W","")</f>
        <v xml:space="preserve">Spencer Castle </v>
      </c>
      <c r="G161">
        <f t="shared" si="5"/>
        <v>383</v>
      </c>
      <c r="H161" t="s">
        <v>319</v>
      </c>
    </row>
    <row r="162" spans="1:8" x14ac:dyDescent="0.25">
      <c r="A162">
        <f>COUNTIF($B$2:$B$375,B162)</f>
        <v>1</v>
      </c>
      <c r="B162" t="str">
        <f>[1]!Numerize(MID(H162,FIND("=",H162),10))</f>
        <v>11230</v>
      </c>
      <c r="C162" t="str">
        <f t="shared" si="4"/>
        <v>S13</v>
      </c>
      <c r="E162" t="str">
        <f>[1]!RegExpSubstitute(MID(H162,FIND("- ",H162)+2,FIND("- ",H162,FIND("- ",H162)+1)-FIND("- ",H162)-2),"\&amp;quot\;.*\&amp;quot\;\W","")</f>
        <v xml:space="preserve">Tyler Swift </v>
      </c>
      <c r="G162">
        <f t="shared" si="5"/>
        <v>444</v>
      </c>
      <c r="H162" t="s">
        <v>263</v>
      </c>
    </row>
    <row r="163" spans="1:8" x14ac:dyDescent="0.25">
      <c r="A163">
        <f>COUNTIF($B$2:$B$375,B163)</f>
        <v>1</v>
      </c>
      <c r="B163" t="str">
        <f>[1]!Numerize(MID(H163,FIND("=",H163),10))</f>
        <v>11499</v>
      </c>
      <c r="C163" t="str">
        <f t="shared" si="4"/>
        <v>S13</v>
      </c>
      <c r="E163" t="str">
        <f>[1]!RegExpSubstitute(MID(H163,FIND("- ",H163)+2,FIND("- ",H163,FIND("- ",H163)+1)-FIND("- ",H163)-2),"\&amp;quot\;.*\&amp;quot\;\W","")</f>
        <v xml:space="preserve">Vander Jones </v>
      </c>
      <c r="G163">
        <f t="shared" si="5"/>
        <v>219</v>
      </c>
      <c r="H163" t="s">
        <v>132</v>
      </c>
    </row>
    <row r="164" spans="1:8" x14ac:dyDescent="0.25">
      <c r="A164">
        <f>COUNTIF($B$2:$B$375,B164)</f>
        <v>1</v>
      </c>
      <c r="B164" t="str">
        <f>[1]!Numerize(MID(H164,FIND("=",H164),10))</f>
        <v>11755</v>
      </c>
      <c r="C164" t="str">
        <f t="shared" si="4"/>
        <v>S14</v>
      </c>
      <c r="E164" t="str">
        <f>[1]!RegExpSubstitute(MID(H164,FIND("- ",H164)+2,FIND("- ",H164,FIND("- ",H164)+1)-FIND("- ",H164)-2),"\&amp;quot\;.*\&amp;quot\;\W","")</f>
        <v xml:space="preserve">Adam Hardin </v>
      </c>
      <c r="G164">
        <f t="shared" si="5"/>
        <v>55</v>
      </c>
      <c r="H164" t="s">
        <v>94</v>
      </c>
    </row>
    <row r="165" spans="1:8" x14ac:dyDescent="0.25">
      <c r="A165">
        <f>COUNTIF($B$2:$B$375,B165)</f>
        <v>1</v>
      </c>
      <c r="B165" t="str">
        <f>[1]!Numerize(MID(H165,FIND("=",H165),10))</f>
        <v>11580</v>
      </c>
      <c r="C165" t="str">
        <f t="shared" si="4"/>
        <v>S14</v>
      </c>
      <c r="E165" t="str">
        <f>[1]!RegExpSubstitute(MID(H165,FIND("- ",H165)+2,FIND("- ",H165,FIND("- ",H165)+1)-FIND("- ",H165)-2),"\&amp;quot\;.*\&amp;quot\;\W","")</f>
        <v xml:space="preserve">Alfredo Crisco </v>
      </c>
      <c r="G165">
        <f t="shared" si="5"/>
        <v>125</v>
      </c>
      <c r="H165" t="s">
        <v>19</v>
      </c>
    </row>
    <row r="166" spans="1:8" x14ac:dyDescent="0.25">
      <c r="A166">
        <f>COUNTIF($B$2:$B$375,B166)</f>
        <v>1</v>
      </c>
      <c r="B166" t="str">
        <f>[1]!Numerize(MID(H166,FIND("=",H166),10))</f>
        <v>11735</v>
      </c>
      <c r="C166" t="str">
        <f t="shared" si="4"/>
        <v>S14</v>
      </c>
      <c r="E166" t="str">
        <f>[1]!RegExpSubstitute(MID(H166,FIND("- ",H166)+2,FIND("- ",H166,FIND("- ",H166)+1)-FIND("- ",H166)-2),"\&amp;quot\;.*\&amp;quot\;\W","")</f>
        <v xml:space="preserve">Brett Tacony </v>
      </c>
      <c r="G166">
        <f t="shared" si="5"/>
        <v>57</v>
      </c>
      <c r="H166" t="s">
        <v>159</v>
      </c>
    </row>
    <row r="167" spans="1:8" x14ac:dyDescent="0.25">
      <c r="A167">
        <f>COUNTIF($B$2:$B$375,B167)</f>
        <v>1</v>
      </c>
      <c r="B167" t="str">
        <f>[1]!Numerize(MID(H167,FIND("=",H167),10))</f>
        <v>11947</v>
      </c>
      <c r="C167" t="str">
        <f t="shared" si="4"/>
        <v>S14</v>
      </c>
      <c r="E167" t="str">
        <f>[1]!RegExpSubstitute(MID(H167,FIND("- ",H167)+2,FIND("- ",H167,FIND("- ",H167)+1)-FIND("- ",H167)-2),"\&amp;quot\;.*\&amp;quot\;\W","")</f>
        <v xml:space="preserve">Buchanan Simons </v>
      </c>
      <c r="G167">
        <f t="shared" si="5"/>
        <v>50</v>
      </c>
      <c r="H167" t="s">
        <v>126</v>
      </c>
    </row>
    <row r="168" spans="1:8" x14ac:dyDescent="0.25">
      <c r="A168">
        <f>COUNTIF($B$2:$B$375,B168)</f>
        <v>1</v>
      </c>
      <c r="B168" t="str">
        <f>[1]!Numerize(MID(H168,FIND("=",H168),10))</f>
        <v>11742</v>
      </c>
      <c r="C168" t="str">
        <f t="shared" si="4"/>
        <v>S14</v>
      </c>
      <c r="E168" t="str">
        <f>[1]!RegExpSubstitute(MID(H168,FIND("- ",H168)+2,FIND("- ",H168,FIND("- ",H168)+1)-FIND("- ",H168)-2),"\&amp;quot\;.*\&amp;quot\;\W","")</f>
        <v xml:space="preserve">Cam Poole </v>
      </c>
      <c r="G168">
        <f t="shared" si="5"/>
        <v>57</v>
      </c>
      <c r="H168" t="s">
        <v>16</v>
      </c>
    </row>
    <row r="169" spans="1:8" x14ac:dyDescent="0.25">
      <c r="A169">
        <f>COUNTIF($B$2:$B$375,B169)</f>
        <v>1</v>
      </c>
      <c r="B169" t="str">
        <f>[1]!Numerize(MID(H169,FIND("=",H169),10))</f>
        <v>11768</v>
      </c>
      <c r="C169" t="str">
        <f t="shared" si="4"/>
        <v>S14</v>
      </c>
      <c r="E169" t="str">
        <f>[1]!RegExpSubstitute(MID(H169,FIND("- ",H169)+2,FIND("- ",H169,FIND("- ",H169)+1)-FIND("- ",H169)-2),"\&amp;quot\;.*\&amp;quot\;\W","")</f>
        <v xml:space="preserve">Cody Kupp </v>
      </c>
      <c r="G169">
        <f t="shared" si="5"/>
        <v>57</v>
      </c>
      <c r="H169" t="s">
        <v>15</v>
      </c>
    </row>
    <row r="170" spans="1:8" x14ac:dyDescent="0.25">
      <c r="A170">
        <f>COUNTIF($B$2:$B$375,B170)</f>
        <v>1</v>
      </c>
      <c r="B170" t="str">
        <f>[1]!Numerize(MID(H170,FIND("=",H170),10))</f>
        <v>11587</v>
      </c>
      <c r="C170" t="str">
        <f t="shared" si="4"/>
        <v>S14</v>
      </c>
      <c r="E170" t="str">
        <f>[1]!RegExpSubstitute(MID(H170,FIND("- ",H170)+2,FIND("- ",H170,FIND("- ",H170)+1)-FIND("- ",H170)-2),"\&amp;quot\;.*\&amp;quot\;\W","")</f>
        <v xml:space="preserve">Cooter Bigsby </v>
      </c>
      <c r="G170">
        <f t="shared" si="5"/>
        <v>314</v>
      </c>
      <c r="H170" t="s">
        <v>131</v>
      </c>
    </row>
    <row r="171" spans="1:8" x14ac:dyDescent="0.25">
      <c r="A171">
        <f>COUNTIF($B$2:$B$375,B171)</f>
        <v>1</v>
      </c>
      <c r="B171" t="str">
        <f>[1]!Numerize(MID(H171,FIND("=",H171),10))</f>
        <v>11597</v>
      </c>
      <c r="C171" t="str">
        <f t="shared" si="4"/>
        <v>S14</v>
      </c>
      <c r="E171" t="str">
        <f>[1]!RegExpSubstitute(MID(H171,FIND("- ",H171)+2,FIND("- ",H171,FIND("- ",H171)+1)-FIND("- ",H171)-2),"\&amp;quot\;.*\&amp;quot\;\W","")</f>
        <v xml:space="preserve">Corvo Havran </v>
      </c>
      <c r="G171">
        <f t="shared" si="5"/>
        <v>267</v>
      </c>
      <c r="H171" t="s">
        <v>161</v>
      </c>
    </row>
    <row r="172" spans="1:8" x14ac:dyDescent="0.25">
      <c r="A172">
        <f>COUNTIF($B$2:$B$375,B172)</f>
        <v>1</v>
      </c>
      <c r="B172" t="str">
        <f>[1]!Numerize(MID(H172,FIND("=",H172),10))</f>
        <v>11785</v>
      </c>
      <c r="C172" t="str">
        <f t="shared" si="4"/>
        <v>S14</v>
      </c>
      <c r="E172" t="str">
        <f>[1]!RegExpSubstitute(MID(H172,FIND("- ",H172)+2,FIND("- ",H172,FIND("- ",H172)+1)-FIND("- ",H172)-2),"\&amp;quot\;.*\&amp;quot\;\W","")</f>
        <v xml:space="preserve">Dingus Hunk </v>
      </c>
      <c r="G172">
        <f t="shared" si="5"/>
        <v>82</v>
      </c>
      <c r="H172" t="s">
        <v>158</v>
      </c>
    </row>
    <row r="173" spans="1:8" x14ac:dyDescent="0.25">
      <c r="A173">
        <f>COUNTIF($B$2:$B$375,B173)</f>
        <v>1</v>
      </c>
      <c r="B173" t="str">
        <f>[1]!Numerize(MID(H173,FIND("=",H173),10))</f>
        <v>11747</v>
      </c>
      <c r="C173" t="str">
        <f t="shared" si="4"/>
        <v>S14</v>
      </c>
      <c r="E173" t="str">
        <f>[1]!RegExpSubstitute(MID(H173,FIND("- ",H173)+2,FIND("- ",H173,FIND("- ",H173)+1)-FIND("- ",H173)-2),"\&amp;quot\;.*\&amp;quot\;\W","")</f>
        <v xml:space="preserve">Drew Maddox </v>
      </c>
      <c r="G173">
        <f t="shared" si="5"/>
        <v>79</v>
      </c>
      <c r="H173" t="s">
        <v>129</v>
      </c>
    </row>
    <row r="174" spans="1:8" x14ac:dyDescent="0.25">
      <c r="A174">
        <f>COUNTIF($B$2:$B$375,B174)</f>
        <v>1</v>
      </c>
      <c r="B174" t="str">
        <f>[1]!Numerize(MID(H174,FIND("=",H174),10))</f>
        <v>11926</v>
      </c>
      <c r="C174" t="str">
        <f t="shared" si="4"/>
        <v>S14</v>
      </c>
      <c r="E174" t="str">
        <f>[1]!RegExpSubstitute(MID(H174,FIND("- ",H174)+2,FIND("- ",H174,FIND("- ",H174)+1)-FIND("- ",H174)-2),"\&amp;quot\;.*\&amp;quot\;\W","")</f>
        <v xml:space="preserve">Gekyume Stokeley </v>
      </c>
      <c r="G174">
        <f t="shared" si="5"/>
        <v>163</v>
      </c>
      <c r="H174" t="s">
        <v>93</v>
      </c>
    </row>
    <row r="175" spans="1:8" x14ac:dyDescent="0.25">
      <c r="A175">
        <f>COUNTIF($B$2:$B$375,B175)</f>
        <v>1</v>
      </c>
      <c r="B175" t="str">
        <f>[1]!Numerize(MID(H175,FIND("=",H175),10))</f>
        <v>11764</v>
      </c>
      <c r="C175" t="str">
        <f t="shared" si="4"/>
        <v>S14</v>
      </c>
      <c r="E175" t="str">
        <f>[1]!RegExpSubstitute(MID(H175,FIND("- ",H175)+2,FIND("- ",H175,FIND("- ",H175)+1)-FIND("- ",H175)-2),"\&amp;quot\;.*\&amp;quot\;\W","")</f>
        <v xml:space="preserve">James Andrews </v>
      </c>
      <c r="G175">
        <f t="shared" si="5"/>
        <v>50</v>
      </c>
      <c r="H175" t="s">
        <v>128</v>
      </c>
    </row>
    <row r="176" spans="1:8" x14ac:dyDescent="0.25">
      <c r="A176">
        <f>COUNTIF($B$2:$B$375,B176)</f>
        <v>1</v>
      </c>
      <c r="B176" t="str">
        <f>[1]!Numerize(MID(H176,FIND("=",H176),10))</f>
        <v>11706</v>
      </c>
      <c r="C176" t="str">
        <f t="shared" si="4"/>
        <v>S14</v>
      </c>
      <c r="E176" t="str">
        <f>[1]!RegExpSubstitute(MID(H176,FIND("- ",H176)+2,FIND("- ",H176,FIND("- ",H176)+1)-FIND("- ",H176)-2),"\&amp;quot\;.*\&amp;quot\;\W","")</f>
        <v xml:space="preserve">Joseph Henry </v>
      </c>
      <c r="G176">
        <f t="shared" si="5"/>
        <v>158</v>
      </c>
      <c r="H176" t="s">
        <v>130</v>
      </c>
    </row>
    <row r="177" spans="1:8" x14ac:dyDescent="0.25">
      <c r="A177">
        <f>COUNTIF($B$2:$B$375,B177)</f>
        <v>1</v>
      </c>
      <c r="B177" t="str">
        <f>[1]!Numerize(MID(H177,FIND("=",H177),10))</f>
        <v>11684</v>
      </c>
      <c r="C177" t="str">
        <f t="shared" si="4"/>
        <v>S14</v>
      </c>
      <c r="E177" t="str">
        <f>[1]!RegExpSubstitute(MID(H177,FIND("- ",H177)+2,FIND("- ",H177,FIND("- ",H177)+1)-FIND("- ",H177)-2),"\&amp;quot\;.*\&amp;quot\;\W","")</f>
        <v xml:space="preserve">Leighton Lee </v>
      </c>
      <c r="G177">
        <f t="shared" si="5"/>
        <v>114</v>
      </c>
      <c r="H177" t="s">
        <v>97</v>
      </c>
    </row>
    <row r="178" spans="1:8" x14ac:dyDescent="0.25">
      <c r="A178">
        <f>COUNTIF($B$2:$B$375,B178)</f>
        <v>1</v>
      </c>
      <c r="B178" t="str">
        <f>[1]!Numerize(MID(H178,FIND("=",H178),10))</f>
        <v>11739</v>
      </c>
      <c r="C178" t="str">
        <f t="shared" si="4"/>
        <v>S14</v>
      </c>
      <c r="E178" t="str">
        <f>[1]!RegExpSubstitute(MID(H178,FIND("- ",H178)+2,FIND("- ",H178,FIND("- ",H178)+1)-FIND("- ",H178)-2),"\&amp;quot\;.*\&amp;quot\;\W","")</f>
        <v xml:space="preserve">Ma Goomba </v>
      </c>
      <c r="G178">
        <f t="shared" si="5"/>
        <v>57</v>
      </c>
      <c r="H178" t="s">
        <v>173</v>
      </c>
    </row>
    <row r="179" spans="1:8" x14ac:dyDescent="0.25">
      <c r="A179">
        <f>COUNTIF($B$2:$B$375,B179)</f>
        <v>1</v>
      </c>
      <c r="B179" t="str">
        <f>[1]!Numerize(MID(H179,FIND("=",H179),10))</f>
        <v>11658</v>
      </c>
      <c r="C179" t="str">
        <f t="shared" si="4"/>
        <v>S14</v>
      </c>
      <c r="E179" t="str">
        <f>[1]!RegExpSubstitute(MID(H179,FIND("- ",H179)+2,FIND("- ",H179,FIND("- ",H179)+1)-FIND("- ",H179)-2),"\&amp;quot\;.*\&amp;quot\;\W","")</f>
        <v xml:space="preserve">Maxwell Beard </v>
      </c>
      <c r="G179">
        <f t="shared" si="5"/>
        <v>136</v>
      </c>
      <c r="H179" t="s">
        <v>300</v>
      </c>
    </row>
    <row r="180" spans="1:8" x14ac:dyDescent="0.25">
      <c r="A180">
        <f>COUNTIF($B$2:$B$375,B180)</f>
        <v>1</v>
      </c>
      <c r="B180" t="str">
        <f>[1]!Numerize(MID(H180,FIND("=",H180),10))</f>
        <v>11738</v>
      </c>
      <c r="C180" t="str">
        <f t="shared" si="4"/>
        <v>S14</v>
      </c>
      <c r="E180" t="str">
        <f>[1]!RegExpSubstitute(MID(H180,FIND("- ",H180)+2,FIND("- ",H180,FIND("- ",H180)+1)-FIND("- ",H180)-2),"\&amp;quot\;.*\&amp;quot\;\W","")</f>
        <v xml:space="preserve">Ricky Enbalse </v>
      </c>
      <c r="G180">
        <f t="shared" si="5"/>
        <v>50</v>
      </c>
      <c r="H180" t="s">
        <v>95</v>
      </c>
    </row>
    <row r="181" spans="1:8" x14ac:dyDescent="0.25">
      <c r="A181">
        <f>COUNTIF($B$2:$B$375,B181)</f>
        <v>1</v>
      </c>
      <c r="B181" t="str">
        <f>[1]!Numerize(MID(H181,FIND("=",H181),10))</f>
        <v>11678</v>
      </c>
      <c r="C181" t="str">
        <f t="shared" si="4"/>
        <v>S14</v>
      </c>
      <c r="E181" t="str">
        <f>[1]!RegExpSubstitute(MID(H181,FIND("- ",H181)+2,FIND("- ",H181,FIND("- ",H181)+1)-FIND("- ",H181)-2),"\&amp;quot\;.*\&amp;quot\;\W","")</f>
        <v xml:space="preserve">Rose Jenkins </v>
      </c>
      <c r="G181">
        <f t="shared" si="5"/>
        <v>203</v>
      </c>
      <c r="H181" t="s">
        <v>17</v>
      </c>
    </row>
    <row r="182" spans="1:8" x14ac:dyDescent="0.25">
      <c r="A182">
        <f>COUNTIF($B$2:$B$375,B182)</f>
        <v>1</v>
      </c>
      <c r="B182" t="str">
        <f>[1]!Numerize(MID(H182,FIND("=",H182),10))</f>
        <v>11946</v>
      </c>
      <c r="C182" t="str">
        <f t="shared" si="4"/>
        <v>S14</v>
      </c>
      <c r="E182" t="str">
        <f>[1]!RegExpSubstitute(MID(H182,FIND("- ",H182)+2,FIND("- ",H182,FIND("- ",H182)+1)-FIND("- ",H182)-2),"\&amp;quot\;.*\&amp;quot\;\W","")</f>
        <v xml:space="preserve">Sandip Bakshi </v>
      </c>
      <c r="G182">
        <f t="shared" si="5"/>
        <v>125</v>
      </c>
      <c r="H182" t="s">
        <v>340</v>
      </c>
    </row>
    <row r="183" spans="1:8" x14ac:dyDescent="0.25">
      <c r="A183">
        <f>COUNTIF($B$2:$B$375,B183)</f>
        <v>1</v>
      </c>
      <c r="B183" t="str">
        <f>[1]!Numerize(MID(H183,FIND("=",H183),10))</f>
        <v>11721</v>
      </c>
      <c r="C183" t="str">
        <f t="shared" si="4"/>
        <v>S14</v>
      </c>
      <c r="E183" t="str">
        <f>[1]!RegExpSubstitute(MID(H183,FIND("- ",H183)+2,FIND("- ",H183,FIND("- ",H183)+1)-FIND("- ",H183)-2),"\&amp;quot\;.*\&amp;quot\;\W","")</f>
        <v xml:space="preserve">Stan Francisco </v>
      </c>
      <c r="G183">
        <f t="shared" si="5"/>
        <v>167</v>
      </c>
      <c r="H183" t="s">
        <v>96</v>
      </c>
    </row>
    <row r="184" spans="1:8" x14ac:dyDescent="0.25">
      <c r="A184">
        <f>COUNTIF($B$2:$B$375,B184)</f>
        <v>1</v>
      </c>
      <c r="B184" t="str">
        <f>[1]!Numerize(MID(H184,FIND("=",H184),10))</f>
        <v>11615</v>
      </c>
      <c r="C184" t="str">
        <f t="shared" si="4"/>
        <v>S14</v>
      </c>
      <c r="E184" t="str">
        <f>[1]!RegExpSubstitute(MID(H184,FIND("- ",H184)+2,FIND("- ",H184,FIND("- ",H184)+1)-FIND("- ",H184)-2),"\&amp;quot\;.*\&amp;quot\;\W","")</f>
        <v xml:space="preserve">Stanley Marshall </v>
      </c>
      <c r="G184">
        <f t="shared" si="5"/>
        <v>50</v>
      </c>
      <c r="H184" t="s">
        <v>98</v>
      </c>
    </row>
    <row r="185" spans="1:8" x14ac:dyDescent="0.25">
      <c r="A185">
        <f>COUNTIF($B$2:$B$375,B185)</f>
        <v>1</v>
      </c>
      <c r="B185" t="str">
        <f>[1]!Numerize(MID(H185,FIND("=",H185),10))</f>
        <v>11652</v>
      </c>
      <c r="C185" t="str">
        <f t="shared" si="4"/>
        <v>S14</v>
      </c>
      <c r="E185" t="str">
        <f>[1]!RegExpSubstitute(MID(H185,FIND("- ",H185)+2,FIND("- ",H185,FIND("- ",H185)+1)-FIND("- ",H185)-2),"\&amp;quot\;.*\&amp;quot\;\W","")</f>
        <v xml:space="preserve">Stephen Harris Jr </v>
      </c>
      <c r="G185">
        <f t="shared" si="5"/>
        <v>131</v>
      </c>
      <c r="H185" t="s">
        <v>160</v>
      </c>
    </row>
    <row r="186" spans="1:8" x14ac:dyDescent="0.25">
      <c r="A186">
        <f>COUNTIF($B$2:$B$375,B186)</f>
        <v>1</v>
      </c>
      <c r="B186" t="str">
        <f>[1]!Numerize(MID(H186,FIND("=",H186),10))</f>
        <v>11775</v>
      </c>
      <c r="C186" t="str">
        <f t="shared" si="4"/>
        <v>S14</v>
      </c>
      <c r="E186" t="str">
        <f>[1]!RegExpSubstitute(MID(H186,FIND("- ",H186)+2,FIND("- ",H186,FIND("- ",H186)+1)-FIND("- ",H186)-2),"\&amp;quot\;.*\&amp;quot\;\W","")</f>
        <v xml:space="preserve">Thad Castle </v>
      </c>
      <c r="G186">
        <f t="shared" si="5"/>
        <v>55</v>
      </c>
      <c r="H186" t="s">
        <v>127</v>
      </c>
    </row>
    <row r="187" spans="1:8" x14ac:dyDescent="0.25">
      <c r="A187">
        <f>COUNTIF($B$2:$B$375,B187)</f>
        <v>1</v>
      </c>
      <c r="B187" t="str">
        <f>[1]!Numerize(MID(H187,FIND("=",H187),10))</f>
        <v>11604</v>
      </c>
      <c r="C187" t="str">
        <f t="shared" si="4"/>
        <v>S14</v>
      </c>
      <c r="E187" t="str">
        <f>[1]!RegExpSubstitute(MID(H187,FIND("- ",H187)+2,FIND("- ",H187,FIND("- ",H187)+1)-FIND("- ",H187)-2),"\&amp;quot\;.*\&amp;quot\;\W","")</f>
        <v xml:space="preserve">Žak Korošec </v>
      </c>
      <c r="G187">
        <f t="shared" si="5"/>
        <v>50</v>
      </c>
      <c r="H187" t="s">
        <v>18</v>
      </c>
    </row>
    <row r="188" spans="1:8" x14ac:dyDescent="0.25">
      <c r="A188">
        <f>COUNTIF($B$2:$B$375,B188)</f>
        <v>1</v>
      </c>
      <c r="B188" t="str">
        <f>[1]!Numerize(MID(H188,FIND("=",H188),10))</f>
        <v>12296</v>
      </c>
      <c r="C188" t="str">
        <f t="shared" si="4"/>
        <v>S15</v>
      </c>
      <c r="E188" t="str">
        <f>[1]!RegExpSubstitute(MID(H188,FIND("- ",H188)+2,FIND("- ",H188,FIND("- ",H188)+1)-FIND("- ",H188)-2),"\&amp;quot\;.*\&amp;quot\;\W","")</f>
        <v xml:space="preserve">Ahri Espeeyeeseetee </v>
      </c>
      <c r="G188">
        <f t="shared" si="5"/>
        <v>50</v>
      </c>
      <c r="H188" t="s">
        <v>41</v>
      </c>
    </row>
    <row r="189" spans="1:8" x14ac:dyDescent="0.25">
      <c r="A189">
        <f>COUNTIF($B$2:$B$375,B189)</f>
        <v>1</v>
      </c>
      <c r="B189" t="str">
        <f>[1]!Numerize(MID(H189,FIND("=",H189),10))</f>
        <v>12613</v>
      </c>
      <c r="C189" t="str">
        <f t="shared" si="4"/>
        <v>S15</v>
      </c>
      <c r="E189" t="str">
        <f>[1]!RegExpSubstitute(MID(H189,FIND("- ",H189)+2,FIND("- ",H189,FIND("- ",H189)+1)-FIND("- ",H189)-2),"\&amp;quot\;.*\&amp;quot\;\W","")</f>
        <v xml:space="preserve">AJ Lattimer </v>
      </c>
      <c r="G189">
        <f t="shared" si="5"/>
        <v>50</v>
      </c>
      <c r="H189" t="s">
        <v>77</v>
      </c>
    </row>
    <row r="190" spans="1:8" x14ac:dyDescent="0.25">
      <c r="A190">
        <f>COUNTIF($B$2:$B$375,B190)</f>
        <v>1</v>
      </c>
      <c r="B190" t="str">
        <f>[1]!Numerize(MID(H190,FIND("=",H190),10))</f>
        <v>12178</v>
      </c>
      <c r="C190" t="str">
        <f t="shared" si="4"/>
        <v>S15</v>
      </c>
      <c r="E190" t="str">
        <f>[1]!RegExpSubstitute(MID(H190,FIND("- ",H190)+2,FIND("- ",H190,FIND("- ",H190)+1)-FIND("- ",H190)-2),"\&amp;quot\;.*\&amp;quot\;\W","")</f>
        <v xml:space="preserve">Alex Dasistwirklichseinnachname </v>
      </c>
      <c r="G190">
        <f t="shared" si="5"/>
        <v>50</v>
      </c>
      <c r="H190" t="s">
        <v>88</v>
      </c>
    </row>
    <row r="191" spans="1:8" x14ac:dyDescent="0.25">
      <c r="A191">
        <f>COUNTIF($B$2:$B$375,B191)</f>
        <v>1</v>
      </c>
      <c r="B191" t="str">
        <f>[1]!Numerize(MID(H191,FIND("=",H191),10))</f>
        <v>11967</v>
      </c>
      <c r="C191" t="str">
        <f t="shared" si="4"/>
        <v>S15</v>
      </c>
      <c r="E191" t="str">
        <f>[1]!RegExpSubstitute(MID(H191,FIND("- ",H191)+2,FIND("- ",H191,FIND("- ",H191)+1)-FIND("- ",H191)-2),"\&amp;quot\;.*\&amp;quot\;\W","")</f>
        <v xml:space="preserve">Allen Josh </v>
      </c>
      <c r="G191">
        <f t="shared" si="5"/>
        <v>133</v>
      </c>
      <c r="H191" t="s">
        <v>53</v>
      </c>
    </row>
    <row r="192" spans="1:8" x14ac:dyDescent="0.25">
      <c r="A192">
        <f>COUNTIF($B$2:$B$375,B192)</f>
        <v>1</v>
      </c>
      <c r="B192" t="str">
        <f>[1]!Numerize(MID(H192,FIND("=",H192),10))</f>
        <v>11988</v>
      </c>
      <c r="C192" t="str">
        <f t="shared" si="4"/>
        <v>S15</v>
      </c>
      <c r="E192" t="str">
        <f>[1]!RegExpSubstitute(MID(H192,FIND("- ",H192)+2,FIND("- ",H192,FIND("- ",H192)+1)-FIND("- ",H192)-2),"\&amp;quot\;.*\&amp;quot\;\W","")</f>
        <v xml:space="preserve">André Thornton </v>
      </c>
      <c r="G192">
        <f t="shared" si="5"/>
        <v>50</v>
      </c>
      <c r="H192" t="s">
        <v>76</v>
      </c>
    </row>
    <row r="193" spans="1:8" x14ac:dyDescent="0.25">
      <c r="A193">
        <f>COUNTIF($B$2:$B$375,B193)</f>
        <v>1</v>
      </c>
      <c r="B193" t="str">
        <f>[1]!Numerize(MID(H193,FIND("=",H193),10))</f>
        <v>12218</v>
      </c>
      <c r="C193" t="str">
        <f t="shared" si="4"/>
        <v>S15</v>
      </c>
      <c r="E193" t="str">
        <f>[1]!RegExpSubstitute(MID(H193,FIND("- ",H193)+2,FIND("- ",H193,FIND("- ",H193)+1)-FIND("- ",H193)-2),"\&amp;quot\;.*\&amp;quot\;\W","")</f>
        <v xml:space="preserve">Andrew Solomon </v>
      </c>
      <c r="G193">
        <f t="shared" si="5"/>
        <v>50</v>
      </c>
      <c r="H193" t="s">
        <v>11</v>
      </c>
    </row>
    <row r="194" spans="1:8" x14ac:dyDescent="0.25">
      <c r="A194">
        <f>COUNTIF($B$2:$B$375,B194)</f>
        <v>1</v>
      </c>
      <c r="B194" t="str">
        <f>[1]!Numerize(MID(H194,FIND("=",H194),10))</f>
        <v>12396</v>
      </c>
      <c r="C194" t="str">
        <f t="shared" si="4"/>
        <v>S15</v>
      </c>
      <c r="E194" t="str">
        <f>[1]!RegExpSubstitute(MID(H194,FIND("- ",H194)+2,FIND("- ",H194,FIND("- ",H194)+1)-FIND("- ",H194)-2),"\&amp;quot\;.*\&amp;quot\;\W","")</f>
        <v xml:space="preserve">Apollo Lange </v>
      </c>
      <c r="G194">
        <f t="shared" si="5"/>
        <v>50</v>
      </c>
      <c r="H194" t="s">
        <v>59</v>
      </c>
    </row>
    <row r="195" spans="1:8" x14ac:dyDescent="0.25">
      <c r="A195">
        <f>COUNTIF($B$2:$B$375,B195)</f>
        <v>1</v>
      </c>
      <c r="B195" t="str">
        <f>[1]!Numerize(MID(H195,FIND("=",H195),10))</f>
        <v>12691</v>
      </c>
      <c r="C195" t="str">
        <f t="shared" ref="C195:C258" si="6">MID(H195,FIND("(",H195)+1,FIND(")",H195)-FIND("(",H195)-1)</f>
        <v>S15</v>
      </c>
      <c r="E195" t="str">
        <f>[1]!RegExpSubstitute(MID(H195,FIND("- ",H195)+2,FIND("- ",H195,FIND("- ",H195)+1)-FIND("- ",H195)-2),"\&amp;quot\;.*\&amp;quot\;\W","")</f>
        <v xml:space="preserve">Apollo Reed </v>
      </c>
      <c r="G195">
        <f t="shared" ref="G195:G258" si="7">MID(H195,FIND("TPE: ",H195)+5,FIND(", ",H195,FIND("TPE: ",H195))-FIND("TPE: ",H195)-5)+0</f>
        <v>50</v>
      </c>
      <c r="H195" t="s">
        <v>33</v>
      </c>
    </row>
    <row r="196" spans="1:8" x14ac:dyDescent="0.25">
      <c r="A196">
        <f>COUNTIF($B$2:$B$375,B196)</f>
        <v>1</v>
      </c>
      <c r="B196" t="str">
        <f>[1]!Numerize(MID(H196,FIND("=",H196),10))</f>
        <v>12378</v>
      </c>
      <c r="C196" t="str">
        <f t="shared" si="6"/>
        <v>S15</v>
      </c>
      <c r="E196" t="str">
        <f>[1]!RegExpSubstitute(MID(H196,FIND("- ",H196)+2,FIND("- ",H196,FIND("- ",H196)+1)-FIND("- ",H196)-2),"\&amp;quot\;.*\&amp;quot\;\W","")</f>
        <v xml:space="preserve">Avery Thomas </v>
      </c>
      <c r="G196">
        <f t="shared" si="7"/>
        <v>50</v>
      </c>
      <c r="H196" t="s">
        <v>80</v>
      </c>
    </row>
    <row r="197" spans="1:8" x14ac:dyDescent="0.25">
      <c r="A197">
        <f>COUNTIF($B$2:$B$375,B197)</f>
        <v>1</v>
      </c>
      <c r="B197" t="str">
        <f>[1]!Numerize(MID(H197,FIND("=",H197),10))</f>
        <v>12249</v>
      </c>
      <c r="C197" t="str">
        <f t="shared" si="6"/>
        <v>S15</v>
      </c>
      <c r="E197" t="str">
        <f>[1]!RegExpSubstitute(MID(H197,FIND("- ",H197)+2,FIND("- ",H197,FIND("- ",H197)+1)-FIND("- ",H197)-2),"\&amp;quot\;.*\&amp;quot\;\W","")</f>
        <v xml:space="preserve">Ben Bortboy </v>
      </c>
      <c r="G197">
        <f t="shared" si="7"/>
        <v>50</v>
      </c>
      <c r="H197" t="s">
        <v>66</v>
      </c>
    </row>
    <row r="198" spans="1:8" x14ac:dyDescent="0.25">
      <c r="A198">
        <f>COUNTIF($B$2:$B$375,B198)</f>
        <v>1</v>
      </c>
      <c r="B198" t="str">
        <f>[1]!Numerize(MID(H198,FIND("=",H198),10))</f>
        <v>12196</v>
      </c>
      <c r="C198" t="str">
        <f t="shared" si="6"/>
        <v>S15</v>
      </c>
      <c r="E198" t="str">
        <f>[1]!RegExpSubstitute(MID(H198,FIND("- ",H198)+2,FIND("- ",H198,FIND("- ",H198)+1)-FIND("- ",H198)-2),"\&amp;quot\;.*\&amp;quot\;\W","")</f>
        <v xml:space="preserve">Bill Inohi </v>
      </c>
      <c r="G198">
        <f t="shared" si="7"/>
        <v>50</v>
      </c>
      <c r="H198" t="s">
        <v>151</v>
      </c>
    </row>
    <row r="199" spans="1:8" x14ac:dyDescent="0.25">
      <c r="A199">
        <f>COUNTIF($B$2:$B$375,B199)</f>
        <v>1</v>
      </c>
      <c r="B199" t="str">
        <f>[1]!Numerize(MID(H199,FIND("=",H199),10))</f>
        <v>12413</v>
      </c>
      <c r="C199" t="str">
        <f t="shared" si="6"/>
        <v>S15</v>
      </c>
      <c r="E199" t="str">
        <f>[1]!RegExpSubstitute(MID(H199,FIND("- ",H199)+2,FIND("- ",H199,FIND("- ",H199)+1)-FIND("- ",H199)-2),"\&amp;quot\;.*\&amp;quot\;\W","")</f>
        <v xml:space="preserve">Brave Ulysses </v>
      </c>
      <c r="G199">
        <f t="shared" si="7"/>
        <v>109</v>
      </c>
      <c r="H199" t="s">
        <v>145</v>
      </c>
    </row>
    <row r="200" spans="1:8" x14ac:dyDescent="0.25">
      <c r="A200">
        <f>COUNTIF($B$2:$B$375,B200)</f>
        <v>1</v>
      </c>
      <c r="B200" t="str">
        <f>[1]!Numerize(MID(H200,FIND("=",H200),10))</f>
        <v>11990</v>
      </c>
      <c r="C200" t="str">
        <f t="shared" si="6"/>
        <v>S15</v>
      </c>
      <c r="E200" t="str">
        <f>[1]!RegExpSubstitute(MID(H200,FIND("- ",H200)+2,FIND("- ",H200,FIND("- ",H200)+1)-FIND("- ",H200)-2),"\&amp;quot\;.*\&amp;quot\;\W","")</f>
        <v xml:space="preserve">Brayden Larosee </v>
      </c>
      <c r="G200">
        <f t="shared" si="7"/>
        <v>50</v>
      </c>
      <c r="H200" t="s">
        <v>14</v>
      </c>
    </row>
    <row r="201" spans="1:8" x14ac:dyDescent="0.25">
      <c r="A201">
        <f>COUNTIF($B$2:$B$375,B201)</f>
        <v>1</v>
      </c>
      <c r="B201" t="str">
        <f>[1]!Numerize(MID(H201,FIND("=",H201),10))</f>
        <v>12087</v>
      </c>
      <c r="C201" t="str">
        <f t="shared" si="6"/>
        <v>S15</v>
      </c>
      <c r="E201" t="str">
        <f>[1]!RegExpSubstitute(MID(H201,FIND("- ",H201)+2,FIND("- ",H201,FIND("- ",H201)+1)-FIND("- ",H201)-2),"\&amp;quot\;.*\&amp;quot\;\W","")</f>
        <v xml:space="preserve">Brock Landers </v>
      </c>
      <c r="G201">
        <f t="shared" si="7"/>
        <v>50</v>
      </c>
      <c r="H201" t="s">
        <v>51</v>
      </c>
    </row>
    <row r="202" spans="1:8" x14ac:dyDescent="0.25">
      <c r="A202">
        <f>COUNTIF($B$2:$B$375,B202)</f>
        <v>1</v>
      </c>
      <c r="B202" t="str">
        <f>[1]!Numerize(MID(H202,FIND("=",H202),10))</f>
        <v>12164</v>
      </c>
      <c r="C202" t="str">
        <f t="shared" si="6"/>
        <v>S15</v>
      </c>
      <c r="E202" t="str">
        <f>[1]!RegExpSubstitute(MID(H202,FIND("- ",H202)+2,FIND("- ",H202,FIND("- ",H202)+1)-FIND("- ",H202)-2),"\&amp;quot\;.*\&amp;quot\;\W","")</f>
        <v xml:space="preserve">Bruce Waynner </v>
      </c>
      <c r="G202">
        <f t="shared" si="7"/>
        <v>50</v>
      </c>
      <c r="H202" t="s">
        <v>121</v>
      </c>
    </row>
    <row r="203" spans="1:8" x14ac:dyDescent="0.25">
      <c r="A203">
        <f>COUNTIF($B$2:$B$375,B203)</f>
        <v>1</v>
      </c>
      <c r="B203" t="str">
        <f>[1]!Numerize(MID(H203,FIND("=",H203),10))</f>
        <v>12206</v>
      </c>
      <c r="C203" t="str">
        <f t="shared" si="6"/>
        <v>S15</v>
      </c>
      <c r="E203" t="str">
        <f>[1]!RegExpSubstitute(MID(H203,FIND("- ",H203)+2,FIND("- ",H203,FIND("- ",H203)+1)-FIND("- ",H203)-2),"\&amp;quot\;.*\&amp;quot\;\W","")</f>
        <v xml:space="preserve">Buddha Lebowski </v>
      </c>
      <c r="G203">
        <f t="shared" si="7"/>
        <v>50</v>
      </c>
      <c r="H203" t="s">
        <v>12</v>
      </c>
    </row>
    <row r="204" spans="1:8" x14ac:dyDescent="0.25">
      <c r="A204">
        <f>COUNTIF($B$2:$B$375,B204)</f>
        <v>1</v>
      </c>
      <c r="B204" t="str">
        <f>[1]!Numerize(MID(H204,FIND("=",H204),10))</f>
        <v>12561</v>
      </c>
      <c r="C204" t="str">
        <f t="shared" si="6"/>
        <v>S15</v>
      </c>
      <c r="E204" t="str">
        <f>[1]!RegExpSubstitute(MID(H204,FIND("- ",H204)+2,FIND("- ",H204,FIND("- ",H204)+1)-FIND("- ",H204)-2),"\&amp;quot\;.*\&amp;quot\;\W","")</f>
        <v xml:space="preserve">Cameron Clutch </v>
      </c>
      <c r="G204">
        <f t="shared" si="7"/>
        <v>50</v>
      </c>
      <c r="H204" t="s">
        <v>35</v>
      </c>
    </row>
    <row r="205" spans="1:8" x14ac:dyDescent="0.25">
      <c r="A205">
        <f>COUNTIF($B$2:$B$375,B205)</f>
        <v>1</v>
      </c>
      <c r="B205" t="str">
        <f>[1]!Numerize(MID(H205,FIND("=",H205),10))</f>
        <v>12328</v>
      </c>
      <c r="C205" t="str">
        <f t="shared" si="6"/>
        <v>S15</v>
      </c>
      <c r="E205" t="str">
        <f>[1]!RegExpSubstitute(MID(H205,FIND("- ",H205)+2,FIND("- ",H205,FIND("- ",H205)+1)-FIND("- ",H205)-2),"\&amp;quot\;.*\&amp;quot\;\W","")</f>
        <v xml:space="preserve">Cameron Olsen </v>
      </c>
      <c r="G205">
        <f t="shared" si="7"/>
        <v>50</v>
      </c>
      <c r="H205" t="s">
        <v>4</v>
      </c>
    </row>
    <row r="206" spans="1:8" x14ac:dyDescent="0.25">
      <c r="A206">
        <f>COUNTIF($B$2:$B$375,B206)</f>
        <v>1</v>
      </c>
      <c r="B206" t="str">
        <f>[1]!Numerize(MID(H206,FIND("=",H206),10))</f>
        <v>12371</v>
      </c>
      <c r="C206" t="str">
        <f t="shared" si="6"/>
        <v>S15</v>
      </c>
      <c r="E206" t="str">
        <f>[1]!RegExpSubstitute(MID(H206,FIND("- ",H206)+2,FIND("- ",H206,FIND("- ",H206)+1)-FIND("- ",H206)-2),"\&amp;quot\;.*\&amp;quot\;\W","")</f>
        <v xml:space="preserve">Carlomagno Rey </v>
      </c>
      <c r="G206">
        <f t="shared" si="7"/>
        <v>50</v>
      </c>
      <c r="H206" t="s">
        <v>146</v>
      </c>
    </row>
    <row r="207" spans="1:8" x14ac:dyDescent="0.25">
      <c r="A207">
        <f>COUNTIF($B$2:$B$375,B207)</f>
        <v>1</v>
      </c>
      <c r="B207" t="str">
        <f>[1]!Numerize(MID(H207,FIND("=",H207),10))</f>
        <v>12471</v>
      </c>
      <c r="C207" t="str">
        <f t="shared" si="6"/>
        <v>S15</v>
      </c>
      <c r="E207" t="str">
        <f>[1]!RegExpSubstitute(MID(H207,FIND("- ",H207)+2,FIND("- ",H207,FIND("- ",H207)+1)-FIND("- ",H207)-2),"\&amp;quot\;.*\&amp;quot\;\W","")</f>
        <v xml:space="preserve">Cedric Parker </v>
      </c>
      <c r="G207">
        <f t="shared" si="7"/>
        <v>50</v>
      </c>
      <c r="H207" t="s">
        <v>375</v>
      </c>
    </row>
    <row r="208" spans="1:8" x14ac:dyDescent="0.25">
      <c r="A208">
        <f>COUNTIF($B$2:$B$375,B208)</f>
        <v>1</v>
      </c>
      <c r="B208" t="str">
        <f>[1]!Numerize(MID(H208,FIND("=",H208),10))</f>
        <v>12272</v>
      </c>
      <c r="C208" t="str">
        <f t="shared" si="6"/>
        <v>S15</v>
      </c>
      <c r="E208" t="str">
        <f>[1]!RegExpSubstitute(MID(H208,FIND("- ",H208)+2,FIND("- ",H208,FIND("- ",H208)+1)-FIND("- ",H208)-2),"\&amp;quot\;.*\&amp;quot\;\W","")</f>
        <v xml:space="preserve">Charles Mudley </v>
      </c>
      <c r="G208">
        <f t="shared" si="7"/>
        <v>50</v>
      </c>
      <c r="H208" t="s">
        <v>38</v>
      </c>
    </row>
    <row r="209" spans="1:8" x14ac:dyDescent="0.25">
      <c r="A209">
        <f>COUNTIF($B$2:$B$375,B209)</f>
        <v>1</v>
      </c>
      <c r="B209" t="str">
        <f>[1]!Numerize(MID(H209,FIND("=",H209),10))</f>
        <v>12017</v>
      </c>
      <c r="C209" t="str">
        <f t="shared" si="6"/>
        <v>S15</v>
      </c>
      <c r="E209" t="str">
        <f>[1]!RegExpSubstitute(MID(H209,FIND("- ",H209)+2,FIND("- ",H209,FIND("- ",H209)+1)-FIND("- ",H209)-2),"\&amp;quot\;.*\&amp;quot\;\W","")</f>
        <v xml:space="preserve">Chase Jensen </v>
      </c>
      <c r="G209">
        <f t="shared" si="7"/>
        <v>101</v>
      </c>
      <c r="H209" t="s">
        <v>75</v>
      </c>
    </row>
    <row r="210" spans="1:8" x14ac:dyDescent="0.25">
      <c r="A210">
        <f>COUNTIF($B$2:$B$375,B210)</f>
        <v>1</v>
      </c>
      <c r="B210" t="str">
        <f>[1]!Numerize(MID(H210,FIND("=",H210),10))</f>
        <v>12091</v>
      </c>
      <c r="C210" t="str">
        <f t="shared" si="6"/>
        <v>S15</v>
      </c>
      <c r="E210" t="str">
        <f>[1]!RegExpSubstitute(MID(H210,FIND("- ",H210)+2,FIND("- ",H210,FIND("- ",H210)+1)-FIND("- ",H210)-2),"\&amp;quot\;.*\&amp;quot\;\W","")</f>
        <v xml:space="preserve">Christopher Loren </v>
      </c>
      <c r="G210">
        <f t="shared" si="7"/>
        <v>50</v>
      </c>
      <c r="H210" t="s">
        <v>13</v>
      </c>
    </row>
    <row r="211" spans="1:8" x14ac:dyDescent="0.25">
      <c r="A211">
        <f>COUNTIF($B$2:$B$375,B211)</f>
        <v>1</v>
      </c>
      <c r="B211" t="str">
        <f>[1]!Numerize(MID(H211,FIND("=",H211),10))</f>
        <v>12288</v>
      </c>
      <c r="C211" t="str">
        <f t="shared" si="6"/>
        <v>S15</v>
      </c>
      <c r="E211" t="str">
        <f>[1]!RegExpSubstitute(MID(H211,FIND("- ",H211)+2,FIND("- ",H211,FIND("- ",H211)+1)-FIND("- ",H211)-2),"\&amp;quot\;.*\&amp;quot\;\W","")</f>
        <v xml:space="preserve">CrayCray Lewis </v>
      </c>
      <c r="G211">
        <f t="shared" si="7"/>
        <v>50</v>
      </c>
      <c r="H211" t="s">
        <v>84</v>
      </c>
    </row>
    <row r="212" spans="1:8" x14ac:dyDescent="0.25">
      <c r="A212">
        <f>COUNTIF($B$2:$B$375,B212)</f>
        <v>1</v>
      </c>
      <c r="B212" t="str">
        <f>[1]!Numerize(MID(H212,FIND("=",H212),10))</f>
        <v>12224</v>
      </c>
      <c r="C212" t="str">
        <f t="shared" si="6"/>
        <v>S15</v>
      </c>
      <c r="E212" t="str">
        <f>[1]!RegExpSubstitute(MID(H212,FIND("- ",H212)+2,FIND("- ",H212,FIND("- ",H212)+1)-FIND("- ",H212)-2),"\&amp;quot\;.*\&amp;quot\;\W","")</f>
        <v xml:space="preserve">Dan Wright </v>
      </c>
      <c r="G212">
        <f t="shared" si="7"/>
        <v>50</v>
      </c>
      <c r="H212" t="s">
        <v>67</v>
      </c>
    </row>
    <row r="213" spans="1:8" x14ac:dyDescent="0.25">
      <c r="A213">
        <f>COUNTIF($B$2:$B$375,B213)</f>
        <v>1</v>
      </c>
      <c r="B213" t="str">
        <f>[1]!Numerize(MID(H213,FIND("=",H213),10))</f>
        <v>12299</v>
      </c>
      <c r="C213" t="str">
        <f t="shared" si="6"/>
        <v>S15</v>
      </c>
      <c r="E213" t="str">
        <f>[1]!RegExpSubstitute(MID(H213,FIND("- ",H213)+2,FIND("- ",H213,FIND("- ",H213)+1)-FIND("- ",H213)-2),"\&amp;quot\;.*\&amp;quot\;\W","")</f>
        <v xml:space="preserve">D'Angelo Thompson </v>
      </c>
      <c r="G213">
        <f t="shared" si="7"/>
        <v>50</v>
      </c>
      <c r="H213" t="s">
        <v>40</v>
      </c>
    </row>
    <row r="214" spans="1:8" x14ac:dyDescent="0.25">
      <c r="A214">
        <f>COUNTIF($B$2:$B$375,B214)</f>
        <v>1</v>
      </c>
      <c r="B214" t="str">
        <f>[1]!Numerize(MID(H214,FIND("=",H214),10))</f>
        <v>12322</v>
      </c>
      <c r="C214" t="str">
        <f t="shared" si="6"/>
        <v>S15</v>
      </c>
      <c r="E214" t="str">
        <f>[1]!RegExpSubstitute(MID(H214,FIND("- ",H214)+2,FIND("- ",H214,FIND("- ",H214)+1)-FIND("- ",H214)-2),"\&amp;quot\;.*\&amp;quot\;\W","")</f>
        <v xml:space="preserve">Dashwan Jackson </v>
      </c>
      <c r="G214">
        <f t="shared" si="7"/>
        <v>50</v>
      </c>
      <c r="H214" t="s">
        <v>82</v>
      </c>
    </row>
    <row r="215" spans="1:8" x14ac:dyDescent="0.25">
      <c r="A215">
        <f>COUNTIF($B$2:$B$375,B215)</f>
        <v>1</v>
      </c>
      <c r="B215" t="str">
        <f>[1]!Numerize(MID(H215,FIND("=",H215),10))</f>
        <v>12606</v>
      </c>
      <c r="C215" t="str">
        <f t="shared" si="6"/>
        <v>S15</v>
      </c>
      <c r="E215" t="str">
        <f>[1]!RegExpSubstitute(MID(H215,FIND("- ",H215)+2,FIND("- ",H215,FIND("- ",H215)+1)-FIND("- ",H215)-2),"\&amp;quot\;.*\&amp;quot\;\W","")</f>
        <v xml:space="preserve">David Le Kre </v>
      </c>
      <c r="G215">
        <f t="shared" si="7"/>
        <v>50</v>
      </c>
      <c r="H215" t="s">
        <v>110</v>
      </c>
    </row>
    <row r="216" spans="1:8" x14ac:dyDescent="0.25">
      <c r="A216">
        <f>COUNTIF($B$2:$B$375,B216)</f>
        <v>1</v>
      </c>
      <c r="B216" t="str">
        <f>[1]!Numerize(MID(H216,FIND("=",H216),10))</f>
        <v>12676</v>
      </c>
      <c r="C216" t="str">
        <f t="shared" si="6"/>
        <v>S15</v>
      </c>
      <c r="E216" t="str">
        <f>[1]!RegExpSubstitute(MID(H216,FIND("- ",H216)+2,FIND("- ",H216,FIND("- ",H216)+1)-FIND("- ",H216)-2),"\&amp;quot\;.*\&amp;quot\;\W","")</f>
        <v xml:space="preserve">Deon Taylor </v>
      </c>
      <c r="G216">
        <f t="shared" si="7"/>
        <v>50</v>
      </c>
      <c r="H216" t="s">
        <v>57</v>
      </c>
    </row>
    <row r="217" spans="1:8" x14ac:dyDescent="0.25">
      <c r="A217">
        <f>COUNTIF($B$2:$B$375,B217)</f>
        <v>1</v>
      </c>
      <c r="B217" t="str">
        <f>[1]!Numerize(MID(H217,FIND("=",H217),10))</f>
        <v>12240</v>
      </c>
      <c r="C217" t="str">
        <f t="shared" si="6"/>
        <v>S15</v>
      </c>
      <c r="E217" t="str">
        <f>[1]!RegExpSubstitute(MID(H217,FIND("- ",H217)+2,FIND("- ",H217,FIND("- ",H217)+1)-FIND("- ",H217)-2),"\&amp;quot\;.*\&amp;quot\;\W","")</f>
        <v xml:space="preserve">Dorfus Jimbo </v>
      </c>
      <c r="G217">
        <f t="shared" si="7"/>
        <v>50</v>
      </c>
      <c r="H217" t="s">
        <v>43</v>
      </c>
    </row>
    <row r="218" spans="1:8" x14ac:dyDescent="0.25">
      <c r="A218">
        <f>COUNTIF($B$2:$B$375,B218)</f>
        <v>1</v>
      </c>
      <c r="B218" t="str">
        <f>[1]!Numerize(MID(H218,FIND("=",H218),10))</f>
        <v>12532</v>
      </c>
      <c r="C218" t="str">
        <f t="shared" si="6"/>
        <v>S15</v>
      </c>
      <c r="E218" t="str">
        <f>[1]!RegExpSubstitute(MID(H218,FIND("- ",H218)+2,FIND("- ",H218,FIND("- ",H218)+1)-FIND("- ",H218)-2),"\&amp;quot\;.*\&amp;quot\;\W","")</f>
        <v xml:space="preserve">Edmond Beaver-Dantes </v>
      </c>
      <c r="G218">
        <f t="shared" si="7"/>
        <v>50</v>
      </c>
      <c r="H218" t="s">
        <v>142</v>
      </c>
    </row>
    <row r="219" spans="1:8" x14ac:dyDescent="0.25">
      <c r="A219">
        <f>COUNTIF($B$2:$B$375,B219)</f>
        <v>1</v>
      </c>
      <c r="B219" t="str">
        <f>[1]!Numerize(MID(H219,FIND("=",H219),10))</f>
        <v>11992</v>
      </c>
      <c r="C219" t="str">
        <f t="shared" si="6"/>
        <v>S15</v>
      </c>
      <c r="E219" t="str">
        <f>[1]!RegExpSubstitute(MID(H219,FIND("- ",H219)+2,FIND("- ",H219,FIND("- ",H219)+1)-FIND("- ",H219)-2),"\&amp;quot\;.*\&amp;quot\;\W","")</f>
        <v xml:space="preserve">Emondov Emoji </v>
      </c>
      <c r="G219">
        <f t="shared" si="7"/>
        <v>102</v>
      </c>
      <c r="H219" t="s">
        <v>92</v>
      </c>
    </row>
    <row r="220" spans="1:8" x14ac:dyDescent="0.25">
      <c r="A220">
        <f>COUNTIF($B$2:$B$375,B220)</f>
        <v>1</v>
      </c>
      <c r="B220" t="str">
        <f>[1]!Numerize(MID(H220,FIND("=",H220),10))</f>
        <v>12604</v>
      </c>
      <c r="C220" t="str">
        <f t="shared" si="6"/>
        <v>S15</v>
      </c>
      <c r="E220" t="str">
        <f>[1]!RegExpSubstitute(MID(H220,FIND("- ",H220)+2,FIND("- ",H220,FIND("- ",H220)+1)-FIND("- ",H220)-2),"\&amp;quot\;.*\&amp;quot\;\W","")</f>
        <v xml:space="preserve">Eric Lorentz </v>
      </c>
      <c r="G220">
        <f t="shared" si="7"/>
        <v>50</v>
      </c>
      <c r="H220" t="s">
        <v>34</v>
      </c>
    </row>
    <row r="221" spans="1:8" x14ac:dyDescent="0.25">
      <c r="A221">
        <f>COUNTIF($B$2:$B$375,B221)</f>
        <v>1</v>
      </c>
      <c r="B221" t="str">
        <f>[1]!Numerize(MID(H221,FIND("=",H221),10))</f>
        <v>12348</v>
      </c>
      <c r="C221" t="str">
        <f t="shared" si="6"/>
        <v>S15</v>
      </c>
      <c r="E221" t="str">
        <f>[1]!RegExpSubstitute(MID(H221,FIND("- ",H221)+2,FIND("- ",H221,FIND("- ",H221)+1)-FIND("- ",H221)-2),"\&amp;quot\;.*\&amp;quot\;\W","")</f>
        <v xml:space="preserve">Farley Hank </v>
      </c>
      <c r="G221">
        <f t="shared" si="7"/>
        <v>50</v>
      </c>
      <c r="H221" t="s">
        <v>7</v>
      </c>
    </row>
    <row r="222" spans="1:8" x14ac:dyDescent="0.25">
      <c r="A222">
        <f>COUNTIF($B$2:$B$375,B222)</f>
        <v>1</v>
      </c>
      <c r="B222" t="str">
        <f>[1]!Numerize(MID(H222,FIND("=",H222),10))</f>
        <v>12194</v>
      </c>
      <c r="C222" t="str">
        <f t="shared" si="6"/>
        <v>S15</v>
      </c>
      <c r="E222" t="str">
        <f>[1]!RegExpSubstitute(MID(H222,FIND("- ",H222)+2,FIND("- ",H222,FIND("- ",H222)+1)-FIND("- ",H222)-2),"\&amp;quot\;.*\&amp;quot\;\W","")</f>
        <v xml:space="preserve">Fatih Terim </v>
      </c>
      <c r="G222">
        <f t="shared" si="7"/>
        <v>50</v>
      </c>
      <c r="H222" t="s">
        <v>68</v>
      </c>
    </row>
    <row r="223" spans="1:8" x14ac:dyDescent="0.25">
      <c r="A223">
        <f>COUNTIF($B$2:$B$375,B223)</f>
        <v>1</v>
      </c>
      <c r="B223" t="str">
        <f>[1]!Numerize(MID(H223,FIND("=",H223),10))</f>
        <v>12260</v>
      </c>
      <c r="C223" t="str">
        <f t="shared" si="6"/>
        <v>S15</v>
      </c>
      <c r="E223" t="str">
        <f>[1]!RegExpSubstitute(MID(H223,FIND("- ",H223)+2,FIND("- ",H223,FIND("- ",H223)+1)-FIND("- ",H223)-2),"\&amp;quot\;.*\&amp;quot\;\W","")</f>
        <v xml:space="preserve">Forrest Gump </v>
      </c>
      <c r="G223">
        <f t="shared" si="7"/>
        <v>50</v>
      </c>
      <c r="H223" t="s">
        <v>149</v>
      </c>
    </row>
    <row r="224" spans="1:8" x14ac:dyDescent="0.25">
      <c r="A224">
        <f>COUNTIF($B$2:$B$375,B224)</f>
        <v>1</v>
      </c>
      <c r="B224" t="str">
        <f>[1]!Numerize(MID(H224,FIND("=",H224),10))</f>
        <v>12031</v>
      </c>
      <c r="C224" t="str">
        <f t="shared" si="6"/>
        <v>S15</v>
      </c>
      <c r="E224" t="str">
        <f>[1]!RegExpSubstitute(MID(H224,FIND("- ",H224)+2,FIND("- ",H224,FIND("- ",H224)+1)-FIND("- ",H224)-2),"\&amp;quot\;.*\&amp;quot\;\W","")</f>
        <v xml:space="preserve">Franklin Armstrong </v>
      </c>
      <c r="G224">
        <f t="shared" si="7"/>
        <v>67</v>
      </c>
      <c r="H224" t="s">
        <v>90</v>
      </c>
    </row>
    <row r="225" spans="1:8" x14ac:dyDescent="0.25">
      <c r="A225">
        <f>COUNTIF($B$2:$B$375,B225)</f>
        <v>1</v>
      </c>
      <c r="B225" t="str">
        <f>[1]!Numerize(MID(H225,FIND("=",H225),10))</f>
        <v>12363</v>
      </c>
      <c r="C225" t="str">
        <f t="shared" si="6"/>
        <v>S15</v>
      </c>
      <c r="E225" t="str">
        <f>[1]!RegExpSubstitute(MID(H225,FIND("- ",H225)+2,FIND("- ",H225,FIND("- ",H225)+1)-FIND("- ",H225)-2),"\&amp;quot\;.*\&amp;quot\;\W","")</f>
        <v xml:space="preserve">Franklin Cooper </v>
      </c>
      <c r="G225">
        <f t="shared" si="7"/>
        <v>50</v>
      </c>
      <c r="H225" t="s">
        <v>113</v>
      </c>
    </row>
    <row r="226" spans="1:8" x14ac:dyDescent="0.25">
      <c r="A226">
        <f>COUNTIF($B$2:$B$375,B226)</f>
        <v>1</v>
      </c>
      <c r="B226" t="str">
        <f>[1]!Numerize(MID(H226,FIND("=",H226),10))</f>
        <v>12518</v>
      </c>
      <c r="C226" t="str">
        <f t="shared" si="6"/>
        <v>S15</v>
      </c>
      <c r="E226" t="str">
        <f>[1]!RegExpSubstitute(MID(H226,FIND("- ",H226)+2,FIND("- ",H226,FIND("- ",H226)+1)-FIND("- ",H226)-2),"\&amp;quot\;.*\&amp;quot\;\W","")</f>
        <v xml:space="preserve">Frasier Crane </v>
      </c>
      <c r="G226">
        <f t="shared" si="7"/>
        <v>50</v>
      </c>
      <c r="H226" t="s">
        <v>6</v>
      </c>
    </row>
    <row r="227" spans="1:8" x14ac:dyDescent="0.25">
      <c r="A227">
        <f>COUNTIF($B$2:$B$375,B227)</f>
        <v>1</v>
      </c>
      <c r="B227" t="str">
        <f>[1]!Numerize(MID(H227,FIND("=",H227),10))</f>
        <v>12138</v>
      </c>
      <c r="C227" t="str">
        <f t="shared" si="6"/>
        <v>S15</v>
      </c>
      <c r="E227" t="str">
        <f>[1]!RegExpSubstitute(MID(H227,FIND("- ",H227)+2,FIND("- ",H227,FIND("- ",H227)+1)-FIND("- ",H227)-2),"\&amp;quot\;.*\&amp;quot\;\W","")</f>
        <v xml:space="preserve">Giannis Kroustis </v>
      </c>
      <c r="G227">
        <f t="shared" si="7"/>
        <v>50</v>
      </c>
      <c r="H227" t="s">
        <v>48</v>
      </c>
    </row>
    <row r="228" spans="1:8" x14ac:dyDescent="0.25">
      <c r="A228">
        <f>COUNTIF($B$2:$B$375,B228)</f>
        <v>1</v>
      </c>
      <c r="B228" t="str">
        <f>[1]!Numerize(MID(H228,FIND("=",H228),10))</f>
        <v>12140</v>
      </c>
      <c r="C228" t="str">
        <f t="shared" si="6"/>
        <v>S15</v>
      </c>
      <c r="E228" t="str">
        <f>[1]!RegExpSubstitute(MID(H228,FIND("- ",H228)+2,FIND("- ",H228,FIND("- ",H228)+1)-FIND("- ",H228)-2),"\&amp;quot\;.*\&amp;quot\;\W","")</f>
        <v xml:space="preserve">Gimmy Jaroppolo </v>
      </c>
      <c r="G228">
        <f t="shared" si="7"/>
        <v>50</v>
      </c>
      <c r="H228" t="s">
        <v>70</v>
      </c>
    </row>
    <row r="229" spans="1:8" x14ac:dyDescent="0.25">
      <c r="A229">
        <f>COUNTIF($B$2:$B$375,B229)</f>
        <v>1</v>
      </c>
      <c r="B229" t="str">
        <f>[1]!Numerize(MID(H229,FIND("=",H229),10))</f>
        <v>12204</v>
      </c>
      <c r="C229" t="str">
        <f t="shared" si="6"/>
        <v>S15</v>
      </c>
      <c r="E229" t="str">
        <f>[1]!RegExpSubstitute(MID(H229,FIND("- ",H229)+2,FIND("- ",H229,FIND("- ",H229)+1)-FIND("- ",H229)-2),"\&amp;quot\;.*\&amp;quot\;\W","")</f>
        <v xml:space="preserve">Gregor Clegaine </v>
      </c>
      <c r="G229">
        <f t="shared" si="7"/>
        <v>50</v>
      </c>
      <c r="H229" t="s">
        <v>86</v>
      </c>
    </row>
    <row r="230" spans="1:8" x14ac:dyDescent="0.25">
      <c r="A230">
        <f>COUNTIF($B$2:$B$375,B230)</f>
        <v>1</v>
      </c>
      <c r="B230" t="str">
        <f>[1]!Numerize(MID(H230,FIND("=",H230),10))</f>
        <v>12367</v>
      </c>
      <c r="C230" t="str">
        <f t="shared" si="6"/>
        <v>S15</v>
      </c>
      <c r="E230" t="str">
        <f>[1]!RegExpSubstitute(MID(H230,FIND("- ",H230)+2,FIND("- ",H230,FIND("- ",H230)+1)-FIND("- ",H230)-2),"\&amp;quot\;.*\&amp;quot\;\W","")</f>
        <v xml:space="preserve">Groovy Johnson </v>
      </c>
      <c r="G230">
        <f t="shared" si="7"/>
        <v>50</v>
      </c>
      <c r="H230" t="s">
        <v>143</v>
      </c>
    </row>
    <row r="231" spans="1:8" x14ac:dyDescent="0.25">
      <c r="A231">
        <f>COUNTIF($B$2:$B$375,B231)</f>
        <v>1</v>
      </c>
      <c r="B231" t="str">
        <f>[1]!Numerize(MID(H231,FIND("=",H231),10))</f>
        <v>12163</v>
      </c>
      <c r="C231" t="str">
        <f t="shared" si="6"/>
        <v>S15</v>
      </c>
      <c r="E231" t="str">
        <f>[1]!RegExpSubstitute(MID(H231,FIND("- ",H231)+2,FIND("- ",H231,FIND("- ",H231)+1)-FIND("- ",H231)-2),"\&amp;quot\;.*\&amp;quot\;\W","")</f>
        <v xml:space="preserve">Guy Nikko </v>
      </c>
      <c r="G231">
        <f t="shared" si="7"/>
        <v>50</v>
      </c>
      <c r="H231" t="s">
        <v>71</v>
      </c>
    </row>
    <row r="232" spans="1:8" x14ac:dyDescent="0.25">
      <c r="A232">
        <f>COUNTIF($B$2:$B$375,B232)</f>
        <v>1</v>
      </c>
      <c r="B232" t="str">
        <f>[1]!Numerize(MID(H232,FIND("=",H232),10))</f>
        <v>12143</v>
      </c>
      <c r="C232" t="str">
        <f t="shared" si="6"/>
        <v>S15</v>
      </c>
      <c r="E232" t="str">
        <f>[1]!RegExpSubstitute(MID(H232,FIND("- ",H232)+2,FIND("- ",H232,FIND("- ",H232)+1)-FIND("- ",H232)-2),"\&amp;quot\;.*\&amp;quot\;\W","")</f>
        <v xml:space="preserve">Jack Rambo </v>
      </c>
      <c r="G232">
        <f t="shared" si="7"/>
        <v>50</v>
      </c>
      <c r="H232" t="s">
        <v>44</v>
      </c>
    </row>
    <row r="233" spans="1:8" x14ac:dyDescent="0.25">
      <c r="A233">
        <f>COUNTIF($B$2:$B$375,B233)</f>
        <v>1</v>
      </c>
      <c r="B233" t="str">
        <f>[1]!Numerize(MID(H233,FIND("=",H233),10))</f>
        <v>12170</v>
      </c>
      <c r="C233" t="str">
        <f t="shared" si="6"/>
        <v>S15</v>
      </c>
      <c r="E233" t="str">
        <f>[1]!RegExpSubstitute(MID(H233,FIND("- ",H233)+2,FIND("- ",H233,FIND("- ",H233)+1)-FIND("- ",H233)-2),"\&amp;quot\;.*\&amp;quot\;\W","")</f>
        <v xml:space="preserve">Jacob Rowan </v>
      </c>
      <c r="G233">
        <f t="shared" si="7"/>
        <v>50</v>
      </c>
      <c r="H233" t="s">
        <v>148</v>
      </c>
    </row>
    <row r="234" spans="1:8" x14ac:dyDescent="0.25">
      <c r="A234">
        <f>COUNTIF($B$2:$B$375,B234)</f>
        <v>1</v>
      </c>
      <c r="B234" t="str">
        <f>[1]!Numerize(MID(H234,FIND("=",H234),10))</f>
        <v>12417</v>
      </c>
      <c r="C234" t="str">
        <f t="shared" si="6"/>
        <v>S15</v>
      </c>
      <c r="E234" t="str">
        <f>[1]!RegExpSubstitute(MID(H234,FIND("- ",H234)+2,FIND("- ",H234,FIND("- ",H234)+1)-FIND("- ",H234)-2),"\&amp;quot\;.*\&amp;quot\;\W","")</f>
        <v xml:space="preserve">Jameis Harrison </v>
      </c>
      <c r="G234">
        <f t="shared" si="7"/>
        <v>50</v>
      </c>
      <c r="H234" t="s">
        <v>60</v>
      </c>
    </row>
    <row r="235" spans="1:8" x14ac:dyDescent="0.25">
      <c r="A235">
        <f>COUNTIF($B$2:$B$375,B235)</f>
        <v>1</v>
      </c>
      <c r="B235" t="str">
        <f>[1]!Numerize(MID(H235,FIND("=",H235),10))</f>
        <v>12384</v>
      </c>
      <c r="C235" t="str">
        <f t="shared" si="6"/>
        <v>S15</v>
      </c>
      <c r="E235" t="str">
        <f>[1]!RegExpSubstitute(MID(H235,FIND("- ",H235)+2,FIND("- ",H235,FIND("- ",H235)+1)-FIND("- ",H235)-2),"\&amp;quot\;.*\&amp;quot\;\W","")</f>
        <v xml:space="preserve">Jammerson Irving </v>
      </c>
      <c r="G235">
        <f t="shared" si="7"/>
        <v>50</v>
      </c>
      <c r="H235" t="s">
        <v>144</v>
      </c>
    </row>
    <row r="236" spans="1:8" x14ac:dyDescent="0.25">
      <c r="A236">
        <f>COUNTIF($B$2:$B$375,B236)</f>
        <v>1</v>
      </c>
      <c r="B236" t="str">
        <f>[1]!Numerize(MID(H236,FIND("=",H236),10))</f>
        <v>12482</v>
      </c>
      <c r="C236" t="str">
        <f t="shared" si="6"/>
        <v>S15</v>
      </c>
      <c r="E236" t="str">
        <f>[1]!RegExpSubstitute(MID(H236,FIND("- ",H236)+2,FIND("- ",H236,FIND("- ",H236)+1)-FIND("- ",H236)-2),"\&amp;quot\;.*\&amp;quot\;\W","")</f>
        <v xml:space="preserve">Jay Longshaw </v>
      </c>
      <c r="G236">
        <f t="shared" si="7"/>
        <v>50</v>
      </c>
      <c r="H236" t="s">
        <v>37</v>
      </c>
    </row>
    <row r="237" spans="1:8" x14ac:dyDescent="0.25">
      <c r="A237">
        <f>COUNTIF($B$2:$B$375,B237)</f>
        <v>1</v>
      </c>
      <c r="B237" t="str">
        <f>[1]!Numerize(MID(H237,FIND("=",H237),10))</f>
        <v>12675</v>
      </c>
      <c r="C237" t="str">
        <f t="shared" si="6"/>
        <v>S15</v>
      </c>
      <c r="E237" t="str">
        <f>[1]!RegExpSubstitute(MID(H237,FIND("- ",H237)+2,FIND("- ",H237,FIND("- ",H237)+1)-FIND("- ",H237)-2),"\&amp;quot\;.*\&amp;quot\;\W","")</f>
        <v xml:space="preserve">Jay Quick </v>
      </c>
      <c r="G237">
        <f t="shared" si="7"/>
        <v>50</v>
      </c>
      <c r="H237" t="s">
        <v>5</v>
      </c>
    </row>
    <row r="238" spans="1:8" x14ac:dyDescent="0.25">
      <c r="A238">
        <f>COUNTIF($B$2:$B$375,B238)</f>
        <v>1</v>
      </c>
      <c r="B238" t="str">
        <f>[1]!Numerize(MID(H238,FIND("=",H238),10))</f>
        <v>12526</v>
      </c>
      <c r="C238" t="str">
        <f t="shared" si="6"/>
        <v>S15</v>
      </c>
      <c r="E238" t="str">
        <f>[1]!RegExpSubstitute(MID(H238,FIND("- ",H238)+2,FIND("- ",H238,FIND("- ",H238)+1)-FIND("- ",H238)-2),"\&amp;quot\;.*\&amp;quot\;\W","")</f>
        <v xml:space="preserve">John Tebow </v>
      </c>
      <c r="G238">
        <f t="shared" si="7"/>
        <v>50</v>
      </c>
      <c r="H238" t="s">
        <v>36</v>
      </c>
    </row>
    <row r="239" spans="1:8" x14ac:dyDescent="0.25">
      <c r="A239">
        <f>COUNTIF($B$2:$B$375,B239)</f>
        <v>1</v>
      </c>
      <c r="B239" t="str">
        <f>[1]!Numerize(MID(H239,FIND("=",H239),10))</f>
        <v>12011</v>
      </c>
      <c r="C239" t="str">
        <f t="shared" si="6"/>
        <v>S15</v>
      </c>
      <c r="E239" t="str">
        <f>[1]!RegExpSubstitute(MID(H239,FIND("- ",H239)+2,FIND("- ",H239,FIND("- ",H239)+1)-FIND("- ",H239)-2),"\&amp;quot\;.*\&amp;quot\;\W","")</f>
        <v xml:space="preserve">Johnny Slothface </v>
      </c>
      <c r="G239">
        <f t="shared" si="7"/>
        <v>155</v>
      </c>
      <c r="H239" t="s">
        <v>156</v>
      </c>
    </row>
    <row r="240" spans="1:8" x14ac:dyDescent="0.25">
      <c r="A240">
        <f>COUNTIF($B$2:$B$375,B240)</f>
        <v>1</v>
      </c>
      <c r="B240" t="str">
        <f>[1]!Numerize(MID(H240,FIND("=",H240),10))</f>
        <v>11980</v>
      </c>
      <c r="C240" t="str">
        <f t="shared" si="6"/>
        <v>S15</v>
      </c>
      <c r="E240" t="str">
        <f>[1]!RegExpSubstitute(MID(H240,FIND("- ",H240)+2,FIND("- ",H240,FIND("- ",H240)+1)-FIND("- ",H240)-2),"\&amp;quot\;.*\&amp;quot\;\W","")</f>
        <v xml:space="preserve">JoJo Burr-Kirven </v>
      </c>
      <c r="G240">
        <f t="shared" si="7"/>
        <v>50</v>
      </c>
      <c r="H240" t="s">
        <v>157</v>
      </c>
    </row>
    <row r="241" spans="1:8" x14ac:dyDescent="0.25">
      <c r="A241">
        <f>COUNTIF($B$2:$B$375,B241)</f>
        <v>1</v>
      </c>
      <c r="B241" t="str">
        <f>[1]!Numerize(MID(H241,FIND("=",H241),10))</f>
        <v>12168</v>
      </c>
      <c r="C241" t="str">
        <f t="shared" si="6"/>
        <v>S15</v>
      </c>
      <c r="E241" t="str">
        <f>[1]!RegExpSubstitute(MID(H241,FIND("- ",H241)+2,FIND("- ",H241,FIND("- ",H241)+1)-FIND("- ",H241)-2),"\&amp;quot\;.*\&amp;quot\;\W","")</f>
        <v xml:space="preserve">Justin Tyme </v>
      </c>
      <c r="G241">
        <f t="shared" si="7"/>
        <v>50</v>
      </c>
      <c r="H241" t="s">
        <v>89</v>
      </c>
    </row>
    <row r="242" spans="1:8" x14ac:dyDescent="0.25">
      <c r="A242">
        <f>COUNTIF($B$2:$B$375,B242)</f>
        <v>1</v>
      </c>
      <c r="B242" t="str">
        <f>[1]!Numerize(MID(H242,FIND("=",H242),10))</f>
        <v>12142</v>
      </c>
      <c r="C242" t="str">
        <f t="shared" si="6"/>
        <v>S15</v>
      </c>
      <c r="E242" t="str">
        <f>[1]!RegExpSubstitute(MID(H242,FIND("- ",H242)+2,FIND("- ",H242,FIND("- ",H242)+1)-FIND("- ",H242)-2),"\&amp;quot\;.*\&amp;quot\;\W","")</f>
        <v xml:space="preserve">Kermit Stronglegs </v>
      </c>
      <c r="G242">
        <f t="shared" si="7"/>
        <v>50</v>
      </c>
      <c r="H242" t="s">
        <v>367</v>
      </c>
    </row>
    <row r="243" spans="1:8" x14ac:dyDescent="0.25">
      <c r="A243">
        <f>COUNTIF($B$2:$B$375,B243)</f>
        <v>1</v>
      </c>
      <c r="B243" t="str">
        <f>[1]!Numerize(MID(H243,FIND("=",H243),10))</f>
        <v>12275</v>
      </c>
      <c r="C243" t="str">
        <f t="shared" si="6"/>
        <v>S15</v>
      </c>
      <c r="E243" t="str">
        <f>[1]!RegExpSubstitute(MID(H243,FIND("- ",H243)+2,FIND("- ",H243,FIND("- ",H243)+1)-FIND("- ",H243)-2),"\&amp;quot\;.*\&amp;quot\;\W","")</f>
        <v xml:space="preserve">Khalil Sack </v>
      </c>
      <c r="G243">
        <f t="shared" si="7"/>
        <v>50</v>
      </c>
      <c r="H243" t="s">
        <v>64</v>
      </c>
    </row>
    <row r="244" spans="1:8" x14ac:dyDescent="0.25">
      <c r="A244">
        <f>COUNTIF($B$2:$B$375,B244)</f>
        <v>1</v>
      </c>
      <c r="B244" t="str">
        <f>[1]!Numerize(MID(H244,FIND("=",H244),10))</f>
        <v>12095</v>
      </c>
      <c r="C244" t="str">
        <f t="shared" si="6"/>
        <v>S15</v>
      </c>
      <c r="E244" t="str">
        <f>[1]!RegExpSubstitute(MID(H244,FIND("- ",H244)+2,FIND("- ",H244,FIND("- ",H244)+1)-FIND("- ",H244)-2),"\&amp;quot\;.*\&amp;quot\;\W","")</f>
        <v xml:space="preserve">Lamont McKinnie </v>
      </c>
      <c r="G244">
        <f t="shared" si="7"/>
        <v>50</v>
      </c>
      <c r="H244" t="s">
        <v>73</v>
      </c>
    </row>
    <row r="245" spans="1:8" x14ac:dyDescent="0.25">
      <c r="A245">
        <f>COUNTIF($B$2:$B$375,B245)</f>
        <v>1</v>
      </c>
      <c r="B245" t="str">
        <f>[1]!Numerize(MID(H245,FIND("=",H245),10))</f>
        <v>12292</v>
      </c>
      <c r="C245" t="str">
        <f t="shared" si="6"/>
        <v>S15</v>
      </c>
      <c r="E245" t="str">
        <f>[1]!RegExpSubstitute(MID(H245,FIND("- ",H245)+2,FIND("- ",H245,FIND("- ",H245)+1)-FIND("- ",H245)-2),"\&amp;quot\;.*\&amp;quot\;\W","")</f>
        <v xml:space="preserve">Lanzer Grievous </v>
      </c>
      <c r="G245">
        <f t="shared" si="7"/>
        <v>50</v>
      </c>
      <c r="H245" t="s">
        <v>83</v>
      </c>
    </row>
    <row r="246" spans="1:8" x14ac:dyDescent="0.25">
      <c r="A246">
        <f>COUNTIF($B$2:$B$375,B246)</f>
        <v>1</v>
      </c>
      <c r="B246" t="str">
        <f>[1]!Numerize(MID(H246,FIND("=",H246),10))</f>
        <v>12381</v>
      </c>
      <c r="C246" t="str">
        <f t="shared" si="6"/>
        <v>S15</v>
      </c>
      <c r="E246" t="str">
        <f>[1]!RegExpSubstitute(MID(H246,FIND("- ",H246)+2,FIND("- ",H246,FIND("- ",H246)+1)-FIND("- ",H246)-2),"\&amp;quot\;.*\&amp;quot\;\W","")</f>
        <v xml:space="preserve">Lawalin Tae'orr </v>
      </c>
      <c r="G246">
        <f t="shared" si="7"/>
        <v>50</v>
      </c>
      <c r="H246" t="s">
        <v>111</v>
      </c>
    </row>
    <row r="247" spans="1:8" x14ac:dyDescent="0.25">
      <c r="A247">
        <f>COUNTIF($B$2:$B$375,B247)</f>
        <v>1</v>
      </c>
      <c r="B247" t="str">
        <f>[1]!Numerize(MID(H247,FIND("=",H247),10))</f>
        <v>12326</v>
      </c>
      <c r="C247" t="str">
        <f t="shared" si="6"/>
        <v>S15</v>
      </c>
      <c r="E247" t="str">
        <f>[1]!RegExpSubstitute(MID(H247,FIND("- ",H247)+2,FIND("- ",H247,FIND("- ",H247)+1)-FIND("- ",H247)-2),"\&amp;quot\;.*\&amp;quot\;\W","")</f>
        <v xml:space="preserve">Lightsout Lewis </v>
      </c>
      <c r="G247">
        <f t="shared" si="7"/>
        <v>50</v>
      </c>
      <c r="H247" t="s">
        <v>81</v>
      </c>
    </row>
    <row r="248" spans="1:8" x14ac:dyDescent="0.25">
      <c r="A248">
        <f>COUNTIF($B$2:$B$375,B248)</f>
        <v>1</v>
      </c>
      <c r="B248" t="str">
        <f>[1]!Numerize(MID(H248,FIND("=",H248),10))</f>
        <v>12061</v>
      </c>
      <c r="C248" t="str">
        <f t="shared" si="6"/>
        <v>S15</v>
      </c>
      <c r="E248" t="str">
        <f>[1]!RegExpSubstitute(MID(H248,FIND("- ",H248)+2,FIND("- ",H248,FIND("- ",H248)+1)-FIND("- ",H248)-2),"\&amp;quot\;.*\&amp;quot\;\W","")</f>
        <v xml:space="preserve">Lo Mein </v>
      </c>
      <c r="G248">
        <f t="shared" si="7"/>
        <v>50</v>
      </c>
      <c r="H248" t="s">
        <v>154</v>
      </c>
    </row>
    <row r="249" spans="1:8" x14ac:dyDescent="0.25">
      <c r="A249">
        <f>COUNTIF($B$2:$B$375,B249)</f>
        <v>1</v>
      </c>
      <c r="B249" t="str">
        <f>[1]!Numerize(MID(H249,FIND("=",H249),10))</f>
        <v>12188</v>
      </c>
      <c r="C249" t="str">
        <f t="shared" si="6"/>
        <v>S15</v>
      </c>
      <c r="E249" t="str">
        <f>[1]!RegExpSubstitute(MID(H249,FIND("- ",H249)+2,FIND("- ",H249,FIND("- ",H249)+1)-FIND("- ",H249)-2),"\&amp;quot\;.*\&amp;quot\;\W","")</f>
        <v xml:space="preserve">Logan Uchiha </v>
      </c>
      <c r="G249">
        <f t="shared" si="7"/>
        <v>50</v>
      </c>
      <c r="H249" t="s">
        <v>45</v>
      </c>
    </row>
    <row r="250" spans="1:8" x14ac:dyDescent="0.25">
      <c r="A250">
        <f>COUNTIF($B$2:$B$375,B250)</f>
        <v>1</v>
      </c>
      <c r="B250" t="str">
        <f>[1]!Numerize(MID(H250,FIND("=",H250),10))</f>
        <v>12688</v>
      </c>
      <c r="C250" t="str">
        <f t="shared" si="6"/>
        <v>S15</v>
      </c>
      <c r="E250" t="str">
        <f>[1]!RegExpSubstitute(MID(H250,FIND("- ",H250)+2,FIND("- ",H250,FIND("- ",H250)+1)-FIND("- ",H250)-2),"\&amp;quot\;.*\&amp;quot\;\W","")</f>
        <v xml:space="preserve">Luca Ramero </v>
      </c>
      <c r="G250">
        <f t="shared" si="7"/>
        <v>50</v>
      </c>
      <c r="H250" t="s">
        <v>140</v>
      </c>
    </row>
    <row r="251" spans="1:8" x14ac:dyDescent="0.25">
      <c r="A251">
        <f>COUNTIF($B$2:$B$375,B251)</f>
        <v>1</v>
      </c>
      <c r="B251" t="str">
        <f>[1]!Numerize(MID(H251,FIND("=",H251),10))</f>
        <v>12290</v>
      </c>
      <c r="C251" t="str">
        <f t="shared" si="6"/>
        <v>S15</v>
      </c>
      <c r="E251" t="str">
        <f>[1]!RegExpSubstitute(MID(H251,FIND("- ",H251)+2,FIND("- ",H251,FIND("- ",H251)+1)-FIND("- ",H251)-2),"\&amp;quot\;.*\&amp;quot\;\W","")</f>
        <v xml:space="preserve">Lucas Knight </v>
      </c>
      <c r="G251">
        <f t="shared" si="7"/>
        <v>50</v>
      </c>
      <c r="H251" t="s">
        <v>42</v>
      </c>
    </row>
    <row r="252" spans="1:8" x14ac:dyDescent="0.25">
      <c r="A252">
        <f>COUNTIF($B$2:$B$375,B252)</f>
        <v>1</v>
      </c>
      <c r="B252" t="str">
        <f>[1]!Numerize(MID(H252,FIND("=",H252),10))</f>
        <v>12281</v>
      </c>
      <c r="C252" t="str">
        <f t="shared" si="6"/>
        <v>S15</v>
      </c>
      <c r="E252" t="str">
        <f>[1]!RegExpSubstitute(MID(H252,FIND("- ",H252)+2,FIND("- ",H252,FIND("- ",H252)+1)-FIND("- ",H252)-2),"\&amp;quot\;.*\&amp;quot\;\W","")</f>
        <v xml:space="preserve">Ludicolo Bigby </v>
      </c>
      <c r="G252">
        <f t="shared" si="7"/>
        <v>50</v>
      </c>
      <c r="H252" t="s">
        <v>63</v>
      </c>
    </row>
    <row r="253" spans="1:8" x14ac:dyDescent="0.25">
      <c r="A253">
        <f>COUNTIF($B$2:$B$375,B253)</f>
        <v>1</v>
      </c>
      <c r="B253" t="str">
        <f>[1]!Numerize(MID(H253,FIND("=",H253),10))</f>
        <v>12153</v>
      </c>
      <c r="C253" t="str">
        <f t="shared" si="6"/>
        <v>S15</v>
      </c>
      <c r="E253" t="str">
        <f>[1]!RegExpSubstitute(MID(H253,FIND("- ",H253)+2,FIND("- ",H253,FIND("- ",H253)+1)-FIND("- ",H253)-2),"\&amp;quot\;.*\&amp;quot\;\W","")</f>
        <v xml:space="preserve">Luke South </v>
      </c>
      <c r="G253">
        <f t="shared" si="7"/>
        <v>50</v>
      </c>
      <c r="H253" t="s">
        <v>47</v>
      </c>
    </row>
    <row r="254" spans="1:8" x14ac:dyDescent="0.25">
      <c r="A254">
        <f>COUNTIF($B$2:$B$375,B254)</f>
        <v>1</v>
      </c>
      <c r="B254" t="str">
        <f>[1]!Numerize(MID(H254,FIND("=",H254),10))</f>
        <v>12086</v>
      </c>
      <c r="C254" t="str">
        <f t="shared" si="6"/>
        <v>S15</v>
      </c>
      <c r="E254" t="str">
        <f>[1]!RegExpSubstitute(MID(H254,FIND("- ",H254)+2,FIND("- ",H254,FIND("- ",H254)+1)-FIND("- ",H254)-2),"\&amp;quot\;.*\&amp;quot\;\W","")</f>
        <v xml:space="preserve">Marquees Acho </v>
      </c>
      <c r="G254">
        <f t="shared" si="7"/>
        <v>50</v>
      </c>
      <c r="H254" t="s">
        <v>52</v>
      </c>
    </row>
    <row r="255" spans="1:8" x14ac:dyDescent="0.25">
      <c r="A255">
        <f>COUNTIF($B$2:$B$375,B255)</f>
        <v>1</v>
      </c>
      <c r="B255" t="str">
        <f>[1]!Numerize(MID(H255,FIND("=",H255),10))</f>
        <v>12175</v>
      </c>
      <c r="C255" t="str">
        <f t="shared" si="6"/>
        <v>S15</v>
      </c>
      <c r="E255" t="str">
        <f>[1]!RegExpSubstitute(MID(H255,FIND("- ",H255)+2,FIND("- ",H255,FIND("- ",H255)+1)-FIND("- ",H255)-2),"\&amp;quot\;.*\&amp;quot\;\W","")</f>
        <v xml:space="preserve">Martavius Mack </v>
      </c>
      <c r="G255">
        <f t="shared" si="7"/>
        <v>50</v>
      </c>
      <c r="H255" t="s">
        <v>152</v>
      </c>
    </row>
    <row r="256" spans="1:8" x14ac:dyDescent="0.25">
      <c r="A256">
        <f>COUNTIF($B$2:$B$375,B256)</f>
        <v>1</v>
      </c>
      <c r="B256" t="str">
        <f>[1]!Numerize(MID(H256,FIND("=",H256),10))</f>
        <v>12198</v>
      </c>
      <c r="C256" t="str">
        <f t="shared" si="6"/>
        <v>S15</v>
      </c>
      <c r="E256" t="str">
        <f>[1]!RegExpSubstitute(MID(H256,FIND("- ",H256)+2,FIND("- ",H256,FIND("- ",H256)+1)-FIND("- ",H256)-2),"\&amp;quot\;.*\&amp;quot\;\W","")</f>
        <v xml:space="preserve">Matteo Maximin </v>
      </c>
      <c r="G256">
        <f t="shared" si="7"/>
        <v>50</v>
      </c>
      <c r="H256" t="s">
        <v>0</v>
      </c>
    </row>
    <row r="257" spans="1:8" x14ac:dyDescent="0.25">
      <c r="A257">
        <f>COUNTIF($B$2:$B$375,B257)</f>
        <v>1</v>
      </c>
      <c r="B257" t="str">
        <f>[1]!Numerize(MID(H257,FIND("=",H257),10))</f>
        <v>12258</v>
      </c>
      <c r="C257" t="str">
        <f t="shared" si="6"/>
        <v>S15</v>
      </c>
      <c r="E257" t="str">
        <f>[1]!RegExpSubstitute(MID(H257,FIND("- ",H257)+2,FIND("- ",H257,FIND("- ",H257)+1)-FIND("- ",H257)-2),"\&amp;quot\;.*\&amp;quot\;\W","")</f>
        <v xml:space="preserve">Max Vaz </v>
      </c>
      <c r="G257">
        <f t="shared" si="7"/>
        <v>50</v>
      </c>
      <c r="H257" t="s">
        <v>116</v>
      </c>
    </row>
    <row r="258" spans="1:8" x14ac:dyDescent="0.25">
      <c r="A258">
        <f>COUNTIF($B$2:$B$375,B258)</f>
        <v>1</v>
      </c>
      <c r="B258" t="str">
        <f>[1]!Numerize(MID(H258,FIND("=",H258),10))</f>
        <v>12276</v>
      </c>
      <c r="C258" t="str">
        <f t="shared" si="6"/>
        <v>S15</v>
      </c>
      <c r="E258" t="str">
        <f>[1]!RegExpSubstitute(MID(H258,FIND("- ",H258)+2,FIND("- ",H258,FIND("- ",H258)+1)-FIND("- ",H258)-2),"\&amp;quot\;.*\&amp;quot\;\W","")</f>
        <v xml:space="preserve">Memphis Wilkerson </v>
      </c>
      <c r="G258">
        <f t="shared" si="7"/>
        <v>50</v>
      </c>
      <c r="H258" t="s">
        <v>115</v>
      </c>
    </row>
    <row r="259" spans="1:8" x14ac:dyDescent="0.25">
      <c r="A259">
        <f>COUNTIF($B$2:$B$375,B259)</f>
        <v>1</v>
      </c>
      <c r="B259" t="str">
        <f>[1]!Numerize(MID(H259,FIND("=",H259),10))</f>
        <v>12395</v>
      </c>
      <c r="C259" t="str">
        <f t="shared" ref="C259:C322" si="8">MID(H259,FIND("(",H259)+1,FIND(")",H259)-FIND("(",H259)-1)</f>
        <v>S15</v>
      </c>
      <c r="E259" t="str">
        <f>[1]!RegExpSubstitute(MID(H259,FIND("- ",H259)+2,FIND("- ",H259,FIND("- ",H259)+1)-FIND("- ",H259)-2),"\&amp;quot\;.*\&amp;quot\;\W","")</f>
        <v xml:space="preserve">Michael Rood </v>
      </c>
      <c r="G259">
        <f t="shared" ref="G259:G322" si="9">MID(H259,FIND("TPE: ",H259)+5,FIND(", ",H259,FIND("TPE: ",H259))-FIND("TPE: ",H259)-5)+0</f>
        <v>50</v>
      </c>
      <c r="H259" t="s">
        <v>58</v>
      </c>
    </row>
    <row r="260" spans="1:8" x14ac:dyDescent="0.25">
      <c r="A260">
        <f>COUNTIF($B$2:$B$375,B260)</f>
        <v>1</v>
      </c>
      <c r="B260" t="str">
        <f>[1]!Numerize(MID(H260,FIND("=",H260),10))</f>
        <v>12311</v>
      </c>
      <c r="C260" t="str">
        <f t="shared" si="8"/>
        <v>S15</v>
      </c>
      <c r="E260" t="str">
        <f>[1]!RegExpSubstitute(MID(H260,FIND("- ",H260)+2,FIND("- ",H260,FIND("- ",H260)+1)-FIND("- ",H260)-2),"\&amp;quot\;.*\&amp;quot\;\W","")</f>
        <v xml:space="preserve">Mick Moekr </v>
      </c>
      <c r="G260">
        <f t="shared" si="9"/>
        <v>50</v>
      </c>
      <c r="H260" t="s">
        <v>8</v>
      </c>
    </row>
    <row r="261" spans="1:8" x14ac:dyDescent="0.25">
      <c r="A261">
        <f>COUNTIF($B$2:$B$375,B261)</f>
        <v>1</v>
      </c>
      <c r="B261" t="str">
        <f>[1]!Numerize(MID(H261,FIND("=",H261),10))</f>
        <v>12252</v>
      </c>
      <c r="C261" t="str">
        <f t="shared" si="8"/>
        <v>S15</v>
      </c>
      <c r="E261" t="str">
        <f>[1]!RegExpSubstitute(MID(H261,FIND("- ",H261)+2,FIND("- ",H261,FIND("- ",H261)+1)-FIND("- ",H261)-2),"\&amp;quot\;.*\&amp;quot\;\W","")</f>
        <v xml:space="preserve">Mister Big Chest </v>
      </c>
      <c r="G261">
        <f t="shared" si="9"/>
        <v>50</v>
      </c>
      <c r="H261" t="s">
        <v>117</v>
      </c>
    </row>
    <row r="262" spans="1:8" x14ac:dyDescent="0.25">
      <c r="A262">
        <f>COUNTIF($B$2:$B$375,B262)</f>
        <v>1</v>
      </c>
      <c r="B262" t="str">
        <f>[1]!Numerize(MID(H262,FIND("=",H262),10))</f>
        <v>12113</v>
      </c>
      <c r="C262" t="str">
        <f t="shared" si="8"/>
        <v>S15</v>
      </c>
      <c r="E262" t="str">
        <f>[1]!RegExpSubstitute(MID(H262,FIND("- ",H262)+2,FIND("- ",H262,FIND("- ",H262)+1)-FIND("- ",H262)-2),"\&amp;quot\;.*\&amp;quot\;\W","")</f>
        <v xml:space="preserve">Mo Berry </v>
      </c>
      <c r="G262">
        <f t="shared" si="9"/>
        <v>50</v>
      </c>
      <c r="H262" t="s">
        <v>124</v>
      </c>
    </row>
    <row r="263" spans="1:8" x14ac:dyDescent="0.25">
      <c r="A263">
        <f>COUNTIF($B$2:$B$375,B263)</f>
        <v>1</v>
      </c>
      <c r="B263" t="str">
        <f>[1]!Numerize(MID(H263,FIND("=",H263),10))</f>
        <v>12255</v>
      </c>
      <c r="C263" t="str">
        <f t="shared" si="8"/>
        <v>S15</v>
      </c>
      <c r="E263" t="str">
        <f>[1]!RegExpSubstitute(MID(H263,FIND("- ",H263)+2,FIND("- ",H263,FIND("- ",H263)+1)-FIND("- ",H263)-2),"\&amp;quot\;.*\&amp;quot\;\W","")</f>
        <v xml:space="preserve">Momodou Jallow </v>
      </c>
      <c r="G263">
        <f t="shared" si="9"/>
        <v>50</v>
      </c>
      <c r="H263" t="s">
        <v>150</v>
      </c>
    </row>
    <row r="264" spans="1:8" x14ac:dyDescent="0.25">
      <c r="A264">
        <f>COUNTIF($B$2:$B$375,B264)</f>
        <v>1</v>
      </c>
      <c r="B264" t="str">
        <f>[1]!Numerize(MID(H264,FIND("=",H264),10))</f>
        <v>12191</v>
      </c>
      <c r="C264" t="str">
        <f t="shared" si="8"/>
        <v>S15</v>
      </c>
      <c r="E264" t="str">
        <f>[1]!RegExpSubstitute(MID(H264,FIND("- ",H264)+2,FIND("- ",H264,FIND("- ",H264)+1)-FIND("- ",H264)-2),"\&amp;quot\;.*\&amp;quot\;\W","")</f>
        <v xml:space="preserve">Morgan Marshall </v>
      </c>
      <c r="G264">
        <f t="shared" si="9"/>
        <v>50</v>
      </c>
      <c r="H264" t="s">
        <v>119</v>
      </c>
    </row>
    <row r="265" spans="1:8" x14ac:dyDescent="0.25">
      <c r="A265">
        <f>COUNTIF($B$2:$B$375,B265)</f>
        <v>1</v>
      </c>
      <c r="B265" t="str">
        <f>[1]!Numerize(MID(H265,FIND("=",H265),10))</f>
        <v>12173</v>
      </c>
      <c r="C265" t="str">
        <f t="shared" si="8"/>
        <v>S15</v>
      </c>
      <c r="E265" t="str">
        <f>[1]!RegExpSubstitute(MID(H265,FIND("- ",H265)+2,FIND("- ",H265,FIND("- ",H265)+1)-FIND("- ",H265)-2),"\&amp;quot\;.*\&amp;quot\;\W","")</f>
        <v xml:space="preserve">Nacho Varga </v>
      </c>
      <c r="G265">
        <f t="shared" si="9"/>
        <v>50</v>
      </c>
      <c r="H265" t="s">
        <v>69</v>
      </c>
    </row>
    <row r="266" spans="1:8" x14ac:dyDescent="0.25">
      <c r="A266">
        <f>COUNTIF($B$2:$B$375,B266)</f>
        <v>1</v>
      </c>
      <c r="B266" t="str">
        <f>[1]!Numerize(MID(H266,FIND("=",H266),10))</f>
        <v>12144</v>
      </c>
      <c r="C266" t="str">
        <f t="shared" si="8"/>
        <v>S15</v>
      </c>
      <c r="E266" t="str">
        <f>[1]!RegExpSubstitute(MID(H266,FIND("- ",H266)+2,FIND("- ",H266,FIND("- ",H266)+1)-FIND("- ",H266)-2),"\&amp;quot\;.*\&amp;quot\;\W","")</f>
        <v xml:space="preserve">Neon Demon </v>
      </c>
      <c r="G266">
        <f t="shared" si="9"/>
        <v>50</v>
      </c>
      <c r="H266" t="s">
        <v>122</v>
      </c>
    </row>
    <row r="267" spans="1:8" x14ac:dyDescent="0.25">
      <c r="A267">
        <f>COUNTIF($B$2:$B$375,B267)</f>
        <v>1</v>
      </c>
      <c r="B267" t="str">
        <f>[1]!Numerize(MID(H267,FIND("=",H267),10))</f>
        <v>12364</v>
      </c>
      <c r="C267" t="str">
        <f t="shared" si="8"/>
        <v>S15</v>
      </c>
      <c r="E267" t="str">
        <f>[1]!RegExpSubstitute(MID(H267,FIND("- ",H267)+2,FIND("- ",H267,FIND("- ",H267)+1)-FIND("- ",H267)-2),"\&amp;quot\;.*\&amp;quot\;\W","")</f>
        <v xml:space="preserve">Nero Alexander </v>
      </c>
      <c r="G267">
        <f t="shared" si="9"/>
        <v>50</v>
      </c>
      <c r="H267" t="s">
        <v>112</v>
      </c>
    </row>
    <row r="268" spans="1:8" x14ac:dyDescent="0.25">
      <c r="A268">
        <f>COUNTIF($B$2:$B$375,B268)</f>
        <v>1</v>
      </c>
      <c r="B268" t="str">
        <f>[1]!Numerize(MID(H268,FIND("=",H268),10))</f>
        <v>12107</v>
      </c>
      <c r="C268" t="str">
        <f t="shared" si="8"/>
        <v>S15</v>
      </c>
      <c r="E268" t="str">
        <f>[1]!RegExpSubstitute(MID(H268,FIND("- ",H268)+2,FIND("- ",H268,FIND("- ",H268)+1)-FIND("- ",H268)-2),"\&amp;quot\;.*\&amp;quot\;\W","")</f>
        <v xml:space="preserve">Nick Snider </v>
      </c>
      <c r="G268">
        <f t="shared" si="9"/>
        <v>50</v>
      </c>
      <c r="H268" t="s">
        <v>49</v>
      </c>
    </row>
    <row r="269" spans="1:8" x14ac:dyDescent="0.25">
      <c r="A269">
        <f>COUNTIF($B$2:$B$375,B269)</f>
        <v>1</v>
      </c>
      <c r="B269" t="str">
        <f>[1]!Numerize(MID(H269,FIND("=",H269),10))</f>
        <v>12493</v>
      </c>
      <c r="C269" t="str">
        <f t="shared" si="8"/>
        <v>S15</v>
      </c>
      <c r="E269" t="str">
        <f>[1]!RegExpSubstitute(MID(H269,FIND("- ",H269)+2,FIND("- ",H269,FIND("- ",H269)+1)-FIND("- ",H269)-2),"\&amp;quot\;.*\&amp;quot\;\W","")</f>
        <v xml:space="preserve">Pablo Sanchez </v>
      </c>
      <c r="G269">
        <f t="shared" si="9"/>
        <v>50</v>
      </c>
      <c r="H269" t="s">
        <v>78</v>
      </c>
    </row>
    <row r="270" spans="1:8" x14ac:dyDescent="0.25">
      <c r="A270">
        <f>COUNTIF($B$2:$B$375,B270)</f>
        <v>1</v>
      </c>
      <c r="B270" t="str">
        <f>[1]!Numerize(MID(H270,FIND("=",H270),10))</f>
        <v>12009</v>
      </c>
      <c r="C270" t="str">
        <f t="shared" si="8"/>
        <v>S15</v>
      </c>
      <c r="E270" t="str">
        <f>[1]!RegExpSubstitute(MID(H270,FIND("- ",H270)+2,FIND("- ",H270,FIND("- ",H270)+1)-FIND("- ",H270)-2),"\&amp;quot\;.*\&amp;quot\;\W","")</f>
        <v xml:space="preserve">Paul DiMirio III </v>
      </c>
      <c r="G270">
        <f t="shared" si="9"/>
        <v>50</v>
      </c>
      <c r="H270" t="s">
        <v>1</v>
      </c>
    </row>
    <row r="271" spans="1:8" x14ac:dyDescent="0.25">
      <c r="A271">
        <f>COUNTIF($B$2:$B$375,B271)</f>
        <v>1</v>
      </c>
      <c r="B271" t="str">
        <f>[1]!Numerize(MID(H271,FIND("=",H271),10))</f>
        <v>12154</v>
      </c>
      <c r="C271" t="str">
        <f t="shared" si="8"/>
        <v>S15</v>
      </c>
      <c r="E271" t="str">
        <f>[1]!RegExpSubstitute(MID(H271,FIND("- ",H271)+2,FIND("- ",H271,FIND("- ",H271)+1)-FIND("- ",H271)-2),"\&amp;quot\;.*\&amp;quot\;\W","")</f>
        <v xml:space="preserve">Poster Nutbag </v>
      </c>
      <c r="G271">
        <f t="shared" si="9"/>
        <v>50</v>
      </c>
      <c r="H271" t="s">
        <v>46</v>
      </c>
    </row>
    <row r="272" spans="1:8" x14ac:dyDescent="0.25">
      <c r="A272">
        <f>COUNTIF($B$2:$B$375,B272)</f>
        <v>1</v>
      </c>
      <c r="B272" t="str">
        <f>[1]!Numerize(MID(H272,FIND("=",H272),10))</f>
        <v>12226</v>
      </c>
      <c r="C272" t="str">
        <f t="shared" si="8"/>
        <v>S15</v>
      </c>
      <c r="E272" t="str">
        <f>[1]!RegExpSubstitute(MID(H272,FIND("- ",H272)+2,FIND("- ",H272,FIND("- ",H272)+1)-FIND("- ",H272)-2),"\&amp;quot\;.*\&amp;quot\;\W","")</f>
        <v xml:space="preserve">Proy Tolamalu  </v>
      </c>
      <c r="G272">
        <f t="shared" si="9"/>
        <v>50</v>
      </c>
      <c r="H272" t="s">
        <v>3</v>
      </c>
    </row>
    <row r="273" spans="1:8" x14ac:dyDescent="0.25">
      <c r="A273">
        <f>COUNTIF($B$2:$B$375,B273)</f>
        <v>1</v>
      </c>
      <c r="B273" t="str">
        <f>[1]!Numerize(MID(H273,FIND("=",H273),10))</f>
        <v>12282</v>
      </c>
      <c r="C273" t="str">
        <f t="shared" si="8"/>
        <v>S15</v>
      </c>
      <c r="E273" t="str">
        <f>[1]!RegExpSubstitute(MID(H273,FIND("- ",H273)+2,FIND("- ",H273,FIND("- ",H273)+1)-FIND("- ",H273)-2),"\&amp;quot\;.*\&amp;quot\;\W","")</f>
        <v xml:space="preserve">Quentin Sinclair </v>
      </c>
      <c r="G273">
        <f t="shared" si="9"/>
        <v>50</v>
      </c>
      <c r="H273" t="s">
        <v>62</v>
      </c>
    </row>
    <row r="274" spans="1:8" x14ac:dyDescent="0.25">
      <c r="A274">
        <f>COUNTIF($B$2:$B$375,B274)</f>
        <v>1</v>
      </c>
      <c r="B274" t="str">
        <f>[1]!Numerize(MID(H274,FIND("=",H274),10))</f>
        <v>12109</v>
      </c>
      <c r="C274" t="str">
        <f t="shared" si="8"/>
        <v>S15</v>
      </c>
      <c r="E274" t="str">
        <f>[1]!RegExpSubstitute(MID(H274,FIND("- ",H274)+2,FIND("- ",H274,FIND("- ",H274)+1)-FIND("- ",H274)-2),"\&amp;quot\;.*\&amp;quot\;\W","")</f>
        <v xml:space="preserve">Quenton Bode </v>
      </c>
      <c r="G274">
        <f t="shared" si="9"/>
        <v>50</v>
      </c>
      <c r="H274" t="s">
        <v>123</v>
      </c>
    </row>
    <row r="275" spans="1:8" x14ac:dyDescent="0.25">
      <c r="A275">
        <f>COUNTIF($B$2:$B$375,B275)</f>
        <v>1</v>
      </c>
      <c r="B275" t="str">
        <f>[1]!Numerize(MID(H275,FIND("=",H275),10))</f>
        <v>12083</v>
      </c>
      <c r="C275" t="str">
        <f t="shared" si="8"/>
        <v>S15</v>
      </c>
      <c r="E275" t="str">
        <f>[1]!RegExpSubstitute(MID(H275,FIND("- ",H275)+2,FIND("- ",H275,FIND("- ",H275)+1)-FIND("- ",H275)-2),"\&amp;quot\;.*\&amp;quot\;\W","")</f>
        <v xml:space="preserve">Rahm Kota </v>
      </c>
      <c r="G275">
        <f t="shared" si="9"/>
        <v>50</v>
      </c>
      <c r="H275" t="s">
        <v>74</v>
      </c>
    </row>
    <row r="276" spans="1:8" x14ac:dyDescent="0.25">
      <c r="A276">
        <f>COUNTIF($B$2:$B$375,B276)</f>
        <v>1</v>
      </c>
      <c r="B276" t="str">
        <f>[1]!Numerize(MID(H276,FIND("=",H276),10))</f>
        <v>12063</v>
      </c>
      <c r="C276" t="str">
        <f t="shared" si="8"/>
        <v>S15</v>
      </c>
      <c r="E276" t="str">
        <f>[1]!RegExpSubstitute(MID(H276,FIND("- ",H276)+2,FIND("- ",H276,FIND("- ",H276)+1)-FIND("- ",H276)-2),"\&amp;quot\;.*\&amp;quot\;\W","")</f>
        <v xml:space="preserve">Ricardo Morris </v>
      </c>
      <c r="G276">
        <f t="shared" si="9"/>
        <v>50</v>
      </c>
      <c r="H276" t="s">
        <v>50</v>
      </c>
    </row>
    <row r="277" spans="1:8" x14ac:dyDescent="0.25">
      <c r="A277">
        <f>COUNTIF($B$2:$B$375,B277)</f>
        <v>1</v>
      </c>
      <c r="B277" t="str">
        <f>[1]!Numerize(MID(H277,FIND("=",H277),10))</f>
        <v>12024</v>
      </c>
      <c r="C277" t="str">
        <f t="shared" si="8"/>
        <v>S15</v>
      </c>
      <c r="E277" t="str">
        <f>[1]!RegExpSubstitute(MID(H277,FIND("- ",H277)+2,FIND("- ",H277,FIND("- ",H277)+1)-FIND("- ",H277)-2),"\&amp;quot\;.*\&amp;quot\;\W","")</f>
        <v xml:space="preserve">Richard D'Attoria V </v>
      </c>
      <c r="G277">
        <f t="shared" si="9"/>
        <v>133</v>
      </c>
      <c r="H277" t="s">
        <v>91</v>
      </c>
    </row>
    <row r="278" spans="1:8" x14ac:dyDescent="0.25">
      <c r="A278">
        <f>COUNTIF($B$2:$B$375,B278)</f>
        <v>1</v>
      </c>
      <c r="B278" t="str">
        <f>[1]!Numerize(MID(H278,FIND("=",H278),10))</f>
        <v>12228</v>
      </c>
      <c r="C278" t="str">
        <f t="shared" si="8"/>
        <v>S15</v>
      </c>
      <c r="E278" t="str">
        <f>[1]!RegExpSubstitute(MID(H278,FIND("- ",H278)+2,FIND("- ",H278,FIND("- ",H278)+1)-FIND("- ",H278)-2),"\&amp;quot\;.*\&amp;quot\;\W","")</f>
        <v xml:space="preserve">Robert Kleven </v>
      </c>
      <c r="G278">
        <f t="shared" si="9"/>
        <v>50</v>
      </c>
      <c r="H278" t="s">
        <v>118</v>
      </c>
    </row>
    <row r="279" spans="1:8" x14ac:dyDescent="0.25">
      <c r="A279">
        <f>COUNTIF($B$2:$B$375,B279)</f>
        <v>1</v>
      </c>
      <c r="B279" t="str">
        <f>[1]!Numerize(MID(H279,FIND("=",H279),10))</f>
        <v>12318</v>
      </c>
      <c r="C279" t="str">
        <f t="shared" si="8"/>
        <v>S15</v>
      </c>
      <c r="E279" t="str">
        <f>[1]!RegExpSubstitute(MID(H279,FIND("- ",H279)+2,FIND("- ",H279,FIND("- ",H279)+1)-FIND("- ",H279)-2),"\&amp;quot\;.*\&amp;quot\;\W","")</f>
        <v xml:space="preserve">Rock Hardshaft </v>
      </c>
      <c r="G279">
        <f t="shared" si="9"/>
        <v>50</v>
      </c>
      <c r="H279" t="s">
        <v>61</v>
      </c>
    </row>
    <row r="280" spans="1:8" x14ac:dyDescent="0.25">
      <c r="A280">
        <f>COUNTIF($B$2:$B$375,B280)</f>
        <v>1</v>
      </c>
      <c r="B280" t="str">
        <f>[1]!Numerize(MID(H280,FIND("=",H280),10))</f>
        <v>12700</v>
      </c>
      <c r="C280" t="str">
        <f t="shared" si="8"/>
        <v>S15</v>
      </c>
      <c r="E280" t="str">
        <f>[1]!RegExpSubstitute(MID(H280,FIND("- ",H280)+2,FIND("- ",H280,FIND("- ",H280)+1)-FIND("- ",H280)-2),"\&amp;quot\;.*\&amp;quot\;\W","")</f>
        <v xml:space="preserve">Rod Tidwell </v>
      </c>
      <c r="G280">
        <f t="shared" si="9"/>
        <v>50</v>
      </c>
      <c r="H280" t="s">
        <v>139</v>
      </c>
    </row>
    <row r="281" spans="1:8" x14ac:dyDescent="0.25">
      <c r="A281">
        <f>COUNTIF($B$2:$B$375,B281)</f>
        <v>1</v>
      </c>
      <c r="B281" t="str">
        <f>[1]!Numerize(MID(H281,FIND("=",H281),10))</f>
        <v>12223</v>
      </c>
      <c r="C281" t="str">
        <f t="shared" si="8"/>
        <v>S15</v>
      </c>
      <c r="E281" t="str">
        <f>[1]!RegExpSubstitute(MID(H281,FIND("- ",H281)+2,FIND("- ",H281,FIND("- ",H281)+1)-FIND("- ",H281)-2),"\&amp;quot\;.*\&amp;quot\;\W","")</f>
        <v xml:space="preserve">Ronald St. James III </v>
      </c>
      <c r="G281">
        <f t="shared" si="9"/>
        <v>50</v>
      </c>
      <c r="H281" t="s">
        <v>2</v>
      </c>
    </row>
    <row r="282" spans="1:8" x14ac:dyDescent="0.25">
      <c r="A282">
        <f>COUNTIF($B$2:$B$375,B282)</f>
        <v>1</v>
      </c>
      <c r="B282" t="str">
        <f>[1]!Numerize(MID(H282,FIND("=",H282),10))</f>
        <v>12221</v>
      </c>
      <c r="C282" t="str">
        <f t="shared" si="8"/>
        <v>S15</v>
      </c>
      <c r="E282" t="str">
        <f>[1]!RegExpSubstitute(MID(H282,FIND("- ",H282)+2,FIND("- ",H282,FIND("- ",H282)+1)-FIND("- ",H282)-2),"\&amp;quot\;.*\&amp;quot\;\W","")</f>
        <v xml:space="preserve">Ryan Leaf Jr </v>
      </c>
      <c r="G282">
        <f t="shared" si="9"/>
        <v>50</v>
      </c>
      <c r="H282" t="s">
        <v>10</v>
      </c>
    </row>
    <row r="283" spans="1:8" x14ac:dyDescent="0.25">
      <c r="A283">
        <f>COUNTIF($B$2:$B$375,B283)</f>
        <v>1</v>
      </c>
      <c r="B283" t="str">
        <f>[1]!Numerize(MID(H283,FIND("=",H283),10))</f>
        <v>12034</v>
      </c>
      <c r="C283" t="str">
        <f t="shared" si="8"/>
        <v>S15</v>
      </c>
      <c r="E283" t="str">
        <f>[1]!RegExpSubstitute(MID(H283,FIND("- ",H283)+2,FIND("- ",H283,FIND("- ",H283)+1)-FIND("- ",H283)-2),"\&amp;quot\;.*\&amp;quot\;\W","")</f>
        <v xml:space="preserve">Shaquill Williams VII </v>
      </c>
      <c r="G283">
        <f t="shared" si="9"/>
        <v>64</v>
      </c>
      <c r="H283" t="s">
        <v>125</v>
      </c>
    </row>
    <row r="284" spans="1:8" x14ac:dyDescent="0.25">
      <c r="A284">
        <f>COUNTIF($B$2:$B$375,B284)</f>
        <v>1</v>
      </c>
      <c r="B284" t="str">
        <f>[1]!Numerize(MID(H284,FIND("=",H284),10))</f>
        <v>12180</v>
      </c>
      <c r="C284" t="str">
        <f t="shared" si="8"/>
        <v>S15</v>
      </c>
      <c r="E284" t="str">
        <f>[1]!RegExpSubstitute(MID(H284,FIND("- ",H284)+2,FIND("- ",H284,FIND("- ",H284)+1)-FIND("- ",H284)-2),"\&amp;quot\;.*\&amp;quot\;\W","")</f>
        <v xml:space="preserve">Taters Johnson </v>
      </c>
      <c r="G284">
        <f t="shared" si="9"/>
        <v>50</v>
      </c>
      <c r="H284" t="s">
        <v>87</v>
      </c>
    </row>
    <row r="285" spans="1:8" x14ac:dyDescent="0.25">
      <c r="A285">
        <f>COUNTIF($B$2:$B$375,B285)</f>
        <v>1</v>
      </c>
      <c r="B285" t="str">
        <f>[1]!Numerize(MID(H285,FIND("=",H285),10))</f>
        <v>12232</v>
      </c>
      <c r="C285" t="str">
        <f t="shared" si="8"/>
        <v>S15</v>
      </c>
      <c r="E285" t="str">
        <f>[1]!RegExpSubstitute(MID(H285,FIND("- ",H285)+2,FIND("- ",H285,FIND("- ",H285)+1)-FIND("- ",H285)-2),"\&amp;quot\;.*\&amp;quot\;\W","")</f>
        <v xml:space="preserve">Terry Taffy </v>
      </c>
      <c r="G285">
        <f t="shared" si="9"/>
        <v>50</v>
      </c>
      <c r="H285" t="s">
        <v>9</v>
      </c>
    </row>
    <row r="286" spans="1:8" x14ac:dyDescent="0.25">
      <c r="A286">
        <f>COUNTIF($B$2:$B$375,B286)</f>
        <v>1</v>
      </c>
      <c r="B286" t="str">
        <f>[1]!Numerize(MID(H286,FIND("=",H286),10))</f>
        <v>12257</v>
      </c>
      <c r="C286" t="str">
        <f t="shared" si="8"/>
        <v>S15</v>
      </c>
      <c r="E286" t="str">
        <f>[1]!RegExpSubstitute(MID(H286,FIND("- ",H286)+2,FIND("- ",H286,FIND("- ",H286)+1)-FIND("- ",H286)-2),"\&amp;quot\;.*\&amp;quot\;\W","")</f>
        <v xml:space="preserve">Thad Castle </v>
      </c>
      <c r="G286">
        <f t="shared" si="9"/>
        <v>50</v>
      </c>
      <c r="H286" t="s">
        <v>65</v>
      </c>
    </row>
    <row r="287" spans="1:8" x14ac:dyDescent="0.25">
      <c r="A287">
        <f>COUNTIF($B$2:$B$375,B287)</f>
        <v>1</v>
      </c>
      <c r="B287" t="str">
        <f>[1]!Numerize(MID(H287,FIND("=",H287),10))</f>
        <v>12186</v>
      </c>
      <c r="C287" t="str">
        <f t="shared" si="8"/>
        <v>S15</v>
      </c>
      <c r="E287" t="str">
        <f>[1]!RegExpSubstitute(MID(H287,FIND("- ",H287)+2,FIND("- ",H287,FIND("- ",H287)+1)-FIND("- ",H287)-2),"\&amp;quot\;.*\&amp;quot\;\W","")</f>
        <v xml:space="preserve">Timmy Hoss </v>
      </c>
      <c r="G287">
        <f t="shared" si="9"/>
        <v>50</v>
      </c>
      <c r="H287" t="s">
        <v>120</v>
      </c>
    </row>
    <row r="288" spans="1:8" x14ac:dyDescent="0.25">
      <c r="A288">
        <f>COUNTIF($B$2:$B$375,B288)</f>
        <v>1</v>
      </c>
      <c r="B288" t="str">
        <f>[1]!Numerize(MID(H288,FIND("=",H288),10))</f>
        <v>12535</v>
      </c>
      <c r="C288" t="str">
        <f t="shared" si="8"/>
        <v>S15</v>
      </c>
      <c r="E288" t="str">
        <f>[1]!RegExpSubstitute(MID(H288,FIND("- ",H288)+2,FIND("- ",H288,FIND("- ",H288)+1)-FIND("- ",H288)-2),"\&amp;quot\;.*\&amp;quot\;\W","")</f>
        <v xml:space="preserve">TJ Hendrix </v>
      </c>
      <c r="G288">
        <f t="shared" si="9"/>
        <v>50</v>
      </c>
      <c r="H288" t="s">
        <v>141</v>
      </c>
    </row>
    <row r="289" spans="1:8" x14ac:dyDescent="0.25">
      <c r="A289">
        <f>COUNTIF($B$2:$B$375,B289)</f>
        <v>1</v>
      </c>
      <c r="B289" t="str">
        <f>[1]!Numerize(MID(H289,FIND("=",H289),10))</f>
        <v>12332</v>
      </c>
      <c r="C289" t="str">
        <f t="shared" si="8"/>
        <v>S15</v>
      </c>
      <c r="E289" t="str">
        <f>[1]!RegExpSubstitute(MID(H289,FIND("- ",H289)+2,FIND("- ",H289,FIND("- ",H289)+1)-FIND("- ",H289)-2),"\&amp;quot\;.*\&amp;quot\;\W","")</f>
        <v xml:space="preserve">Tobias Chase </v>
      </c>
      <c r="G289">
        <f t="shared" si="9"/>
        <v>50</v>
      </c>
      <c r="H289" t="s">
        <v>39</v>
      </c>
    </row>
    <row r="290" spans="1:8" x14ac:dyDescent="0.25">
      <c r="A290">
        <f>COUNTIF($B$2:$B$375,B290)</f>
        <v>1</v>
      </c>
      <c r="B290" t="str">
        <f>[1]!Numerize(MID(H290,FIND("=",H290),10))</f>
        <v>12102</v>
      </c>
      <c r="C290" t="str">
        <f t="shared" si="8"/>
        <v>S15</v>
      </c>
      <c r="E290" t="str">
        <f>[1]!RegExpSubstitute(MID(H290,FIND("- ",H290)+2,FIND("- ",H290,FIND("- ",H290)+1)-FIND("- ",H290)-2),"\&amp;quot\;.*\&amp;quot\;\W","")</f>
        <v xml:space="preserve">Tony Gabagool </v>
      </c>
      <c r="G290">
        <f t="shared" si="9"/>
        <v>50</v>
      </c>
      <c r="H290" t="s">
        <v>72</v>
      </c>
    </row>
    <row r="291" spans="1:8" x14ac:dyDescent="0.25">
      <c r="A291">
        <f>COUNTIF($B$2:$B$375,B291)</f>
        <v>1</v>
      </c>
      <c r="B291" t="str">
        <f>[1]!Numerize(MID(H291,FIND("=",H291),10))</f>
        <v>12127</v>
      </c>
      <c r="C291" t="str">
        <f t="shared" si="8"/>
        <v>S15</v>
      </c>
      <c r="E291" t="str">
        <f>[1]!RegExpSubstitute(MID(H291,FIND("- ",H291)+2,FIND("- ",H291,FIND("- ",H291)+1)-FIND("- ",H291)-2),"\&amp;quot\;.*\&amp;quot\;\W","")</f>
        <v xml:space="preserve">Trey Moffat </v>
      </c>
      <c r="G291">
        <f t="shared" si="9"/>
        <v>50</v>
      </c>
      <c r="H291" t="s">
        <v>147</v>
      </c>
    </row>
    <row r="292" spans="1:8" x14ac:dyDescent="0.25">
      <c r="A292">
        <f>COUNTIF($B$2:$B$375,B292)</f>
        <v>1</v>
      </c>
      <c r="B292" t="str">
        <f>[1]!Numerize(MID(H292,FIND("=",H292),10))</f>
        <v>12022</v>
      </c>
      <c r="C292" t="str">
        <f t="shared" si="8"/>
        <v>S15</v>
      </c>
      <c r="E292" t="str">
        <f>[1]!RegExpSubstitute(MID(H292,FIND("- ",H292)+2,FIND("- ",H292,FIND("- ",H292)+1)-FIND("- ",H292)-2),"\&amp;quot\;.*\&amp;quot\;\W","")</f>
        <v xml:space="preserve">Troy Bryant </v>
      </c>
      <c r="G292">
        <f t="shared" si="9"/>
        <v>57</v>
      </c>
      <c r="H292" t="s">
        <v>155</v>
      </c>
    </row>
    <row r="293" spans="1:8" x14ac:dyDescent="0.25">
      <c r="A293">
        <f>COUNTIF($B$2:$B$375,B293)</f>
        <v>1</v>
      </c>
      <c r="B293" t="str">
        <f>[1]!Numerize(MID(H293,FIND("=",H293),10))</f>
        <v>12165</v>
      </c>
      <c r="C293" t="str">
        <f t="shared" si="8"/>
        <v>S15</v>
      </c>
      <c r="E293" t="str">
        <f>[1]!RegExpSubstitute(MID(H293,FIND("- ",H293)+2,FIND("- ",H293,FIND("- ",H293)+1)-FIND("- ",H293)-2),"\&amp;quot\;.*\&amp;quot\;\W","")</f>
        <v xml:space="preserve">Troy Humuhumunukunukuāpuaʻa </v>
      </c>
      <c r="G293">
        <f t="shared" si="9"/>
        <v>50</v>
      </c>
      <c r="H293" t="s">
        <v>153</v>
      </c>
    </row>
    <row r="294" spans="1:8" x14ac:dyDescent="0.25">
      <c r="A294">
        <f>COUNTIF($B$2:$B$375,B294)</f>
        <v>1</v>
      </c>
      <c r="B294" t="str">
        <f>[1]!Numerize(MID(H294,FIND("=",H294),10))</f>
        <v>12329</v>
      </c>
      <c r="C294" t="str">
        <f t="shared" si="8"/>
        <v>S15</v>
      </c>
      <c r="E294" t="str">
        <f>[1]!RegExpSubstitute(MID(H294,FIND("- ",H294)+2,FIND("- ",H294,FIND("- ",H294)+1)-FIND("- ",H294)-2),"\&amp;quot\;.*\&amp;quot\;\W","")</f>
        <v xml:space="preserve">Tyler Janes </v>
      </c>
      <c r="G294">
        <f t="shared" si="9"/>
        <v>50</v>
      </c>
      <c r="H294" t="s">
        <v>79</v>
      </c>
    </row>
    <row r="295" spans="1:8" x14ac:dyDescent="0.25">
      <c r="A295">
        <f>COUNTIF($B$2:$B$375,B295)</f>
        <v>1</v>
      </c>
      <c r="B295" t="str">
        <f>[1]!Numerize(MID(H295,FIND("=",H295),10))</f>
        <v>12283</v>
      </c>
      <c r="C295" t="str">
        <f t="shared" si="8"/>
        <v>S15</v>
      </c>
      <c r="E295" t="str">
        <f>[1]!RegExpSubstitute(MID(H295,FIND("- ",H295)+2,FIND("- ",H295,FIND("- ",H295)+1)-FIND("- ",H295)-2),"\&amp;quot\;.*\&amp;quot\;\W","")</f>
        <v xml:space="preserve">Walt Green </v>
      </c>
      <c r="G295">
        <f t="shared" si="9"/>
        <v>50</v>
      </c>
      <c r="H295" t="s">
        <v>114</v>
      </c>
    </row>
    <row r="296" spans="1:8" x14ac:dyDescent="0.25">
      <c r="A296">
        <f>COUNTIF($B$2:$B$375,B296)</f>
        <v>1</v>
      </c>
      <c r="B296" t="str">
        <f>[1]!Numerize(MID(H296,FIND("=",H296),10))</f>
        <v>12268</v>
      </c>
      <c r="C296" t="str">
        <f t="shared" si="8"/>
        <v>S15</v>
      </c>
      <c r="E296" t="str">
        <f>[1]!RegExpSubstitute(MID(H296,FIND("- ",H296)+2,FIND("- ",H296,FIND("- ",H296)+1)-FIND("- ",H296)-2),"\&amp;quot\;.*\&amp;quot\;\W","")</f>
        <v xml:space="preserve">Xerxes Ridley </v>
      </c>
      <c r="G296">
        <f t="shared" si="9"/>
        <v>50</v>
      </c>
      <c r="H296" t="s">
        <v>85</v>
      </c>
    </row>
    <row r="297" spans="1:8" x14ac:dyDescent="0.25">
      <c r="A297">
        <f>COUNTIF($B$2:$B$375,B297)</f>
        <v>1</v>
      </c>
      <c r="B297" t="str">
        <f>[1]!Numerize(MID(H297,FIND("=",H297),10))</f>
        <v>2894</v>
      </c>
      <c r="C297" t="str">
        <f t="shared" si="8"/>
        <v>S3</v>
      </c>
      <c r="E297" t="str">
        <f>[1]!RegExpSubstitute(MID(H297,FIND("- ",H297)+2,FIND("- ",H297,FIND("- ",H297)+1)-FIND("- ",H297)-2),"\&amp;quot\;.*\&amp;quot\;\W","")</f>
        <v xml:space="preserve">Trey Willie </v>
      </c>
      <c r="G297">
        <f t="shared" si="9"/>
        <v>243</v>
      </c>
      <c r="H297" t="s">
        <v>198</v>
      </c>
    </row>
    <row r="298" spans="1:8" x14ac:dyDescent="0.25">
      <c r="A298">
        <f>COUNTIF($B$2:$B$375,B298)</f>
        <v>1</v>
      </c>
      <c r="B298" t="str">
        <f>[1]!Numerize(MID(H298,FIND("=",H298),10))</f>
        <v>4964</v>
      </c>
      <c r="C298" t="str">
        <f t="shared" si="8"/>
        <v>S4</v>
      </c>
      <c r="E298" t="str">
        <f>[1]!RegExpSubstitute(MID(H298,FIND("- ",H298)+2,FIND("- ",H298,FIND("- ",H298)+1)-FIND("- ",H298)-2),"\&amp;quot\;.*\&amp;quot\;\W","")</f>
        <v xml:space="preserve">Blackford Oakes </v>
      </c>
      <c r="G298">
        <f t="shared" si="9"/>
        <v>517</v>
      </c>
      <c r="H298" t="s">
        <v>217</v>
      </c>
    </row>
    <row r="299" spans="1:8" x14ac:dyDescent="0.25">
      <c r="A299">
        <f>COUNTIF($B$2:$B$375,B299)</f>
        <v>1</v>
      </c>
      <c r="B299" t="str">
        <f>[1]!Numerize(MID(H299,FIND("=",H299),10))</f>
        <v>4656</v>
      </c>
      <c r="C299" t="str">
        <f t="shared" si="8"/>
        <v>S4</v>
      </c>
      <c r="E299" t="str">
        <f>[1]!RegExpSubstitute(MID(H299,FIND("- ",H299)+2,FIND("- ",H299,FIND("- ",H299)+1)-FIND("- ",H299)-2),"\&amp;quot\;.*\&amp;quot\;\W","")</f>
        <v xml:space="preserve">Haruki Ishigawa </v>
      </c>
      <c r="G299">
        <f t="shared" si="9"/>
        <v>224</v>
      </c>
      <c r="H299" t="s">
        <v>237</v>
      </c>
    </row>
    <row r="300" spans="1:8" x14ac:dyDescent="0.25">
      <c r="A300">
        <f>COUNTIF($B$2:$B$375,B300)</f>
        <v>1</v>
      </c>
      <c r="B300" t="str">
        <f>[1]!Numerize(MID(H300,FIND("=",H300),10))</f>
        <v>5130</v>
      </c>
      <c r="C300" t="str">
        <f t="shared" si="8"/>
        <v>S5</v>
      </c>
      <c r="E300" t="str">
        <f>[1]!RegExpSubstitute(MID(H300,FIND("- ",H300)+2,FIND("- ",H300,FIND("- ",H300)+1)-FIND("- ",H300)-2),"\&amp;quot\;.*\&amp;quot\;\W","")</f>
        <v xml:space="preserve">Andre Bly Jr. </v>
      </c>
      <c r="G300">
        <f t="shared" si="9"/>
        <v>410</v>
      </c>
      <c r="H300" t="s">
        <v>216</v>
      </c>
    </row>
    <row r="301" spans="1:8" x14ac:dyDescent="0.25">
      <c r="A301">
        <f>COUNTIF($B$2:$B$375,B301)</f>
        <v>1</v>
      </c>
      <c r="B301" t="str">
        <f>[1]!Numerize(MID(H301,FIND("=",H301),10))</f>
        <v>5347</v>
      </c>
      <c r="C301" t="str">
        <f t="shared" si="8"/>
        <v>S5</v>
      </c>
      <c r="E301" t="str">
        <f>[1]!RegExpSubstitute(MID(H301,FIND("- ",H301)+2,FIND("- ",H301,FIND("- ",H301)+1)-FIND("- ",H301)-2),"\&amp;quot\;.*\&amp;quot\;\W","")</f>
        <v xml:space="preserve">Cameron Taylor </v>
      </c>
      <c r="G301">
        <f t="shared" si="9"/>
        <v>620</v>
      </c>
      <c r="H301" t="s">
        <v>359</v>
      </c>
    </row>
    <row r="302" spans="1:8" x14ac:dyDescent="0.25">
      <c r="A302">
        <f>COUNTIF($B$2:$B$375,B302)</f>
        <v>1</v>
      </c>
      <c r="B302" t="str">
        <f>[1]!Numerize(MID(H302,FIND("=",H302),10))</f>
        <v>5103</v>
      </c>
      <c r="C302" t="str">
        <f t="shared" si="8"/>
        <v>S5</v>
      </c>
      <c r="E302" t="str">
        <f>[1]!RegExpSubstitute(MID(H302,FIND("- ",H302)+2,FIND("- ",H302,FIND("- ",H302)+1)-FIND("- ",H302)-2),"\&amp;quot\;.*\&amp;quot\;\W","")</f>
        <v xml:space="preserve">Carlito Crush </v>
      </c>
      <c r="G302">
        <f t="shared" si="9"/>
        <v>759</v>
      </c>
      <c r="H302" t="s">
        <v>299</v>
      </c>
    </row>
    <row r="303" spans="1:8" x14ac:dyDescent="0.25">
      <c r="A303">
        <f>COUNTIF($B$2:$B$375,B303)</f>
        <v>1</v>
      </c>
      <c r="B303" t="str">
        <f>[1]!Numerize(MID(H303,FIND("=",H303),10))</f>
        <v>5481</v>
      </c>
      <c r="C303" t="str">
        <f t="shared" si="8"/>
        <v>S5</v>
      </c>
      <c r="E303" t="str">
        <f>[1]!RegExpSubstitute(MID(H303,FIND("- ",H303)+2,FIND("- ",H303,FIND("- ",H303)+1)-FIND("- ",H303)-2),"\&amp;quot\;.*\&amp;quot\;\W","")</f>
        <v xml:space="preserve">Dean Jackson </v>
      </c>
      <c r="G303">
        <f t="shared" si="9"/>
        <v>686</v>
      </c>
      <c r="H303" t="s">
        <v>197</v>
      </c>
    </row>
    <row r="304" spans="1:8" x14ac:dyDescent="0.25">
      <c r="A304">
        <f>COUNTIF($B$2:$B$375,B304)</f>
        <v>1</v>
      </c>
      <c r="B304" t="str">
        <f>[1]!Numerize(MID(H304,FIND("=",H304),10))</f>
        <v>5358</v>
      </c>
      <c r="C304" t="str">
        <f t="shared" si="8"/>
        <v>S5</v>
      </c>
      <c r="E304" t="str">
        <f>[1]!RegExpSubstitute(MID(H304,FIND("- ",H304)+2,FIND("- ",H304,FIND("- ",H304)+1)-FIND("- ",H304)-2),"\&amp;quot\;.*\&amp;quot\;\W","")</f>
        <v xml:space="preserve">Gregory Fletcher </v>
      </c>
      <c r="G304">
        <f t="shared" si="9"/>
        <v>229</v>
      </c>
      <c r="H304" t="s">
        <v>215</v>
      </c>
    </row>
    <row r="305" spans="1:8" x14ac:dyDescent="0.25">
      <c r="A305">
        <f>COUNTIF($B$2:$B$375,B305)</f>
        <v>1</v>
      </c>
      <c r="B305" t="str">
        <f>[1]!Numerize(MID(H305,FIND("=",H305),10))</f>
        <v>5621</v>
      </c>
      <c r="C305" t="str">
        <f t="shared" si="8"/>
        <v>S5</v>
      </c>
      <c r="E305" t="str">
        <f>[1]!RegExpSubstitute(MID(H305,FIND("- ",H305)+2,FIND("- ",H305,FIND("- ",H305)+1)-FIND("- ",H305)-2),"\&amp;quot\;.*\&amp;quot\;\W","")</f>
        <v xml:space="preserve">Michael Tillman </v>
      </c>
      <c r="G305">
        <f t="shared" si="9"/>
        <v>238</v>
      </c>
      <c r="H305" t="s">
        <v>236</v>
      </c>
    </row>
    <row r="306" spans="1:8" x14ac:dyDescent="0.25">
      <c r="A306">
        <f>COUNTIF($B$2:$B$375,B306)</f>
        <v>1</v>
      </c>
      <c r="B306" t="str">
        <f>[1]!Numerize(MID(H306,FIND("=",H306),10))</f>
        <v>5326</v>
      </c>
      <c r="C306" t="str">
        <f t="shared" si="8"/>
        <v>S5</v>
      </c>
      <c r="E306" t="str">
        <f>[1]!RegExpSubstitute(MID(H306,FIND("- ",H306)+2,FIND("- ",H306,FIND("- ",H306)+1)-FIND("- ",H306)-2),"\&amp;quot\;.*\&amp;quot\;\W","")</f>
        <v xml:space="preserve">Ryan Sierra </v>
      </c>
      <c r="G306">
        <f t="shared" si="9"/>
        <v>175</v>
      </c>
      <c r="H306" t="s">
        <v>376</v>
      </c>
    </row>
    <row r="307" spans="1:8" x14ac:dyDescent="0.25">
      <c r="A307">
        <f>COUNTIF($B$2:$B$375,B307)</f>
        <v>1</v>
      </c>
      <c r="B307" t="str">
        <f>[1]!Numerize(MID(H307,FIND("=",H307),10))</f>
        <v>6510</v>
      </c>
      <c r="C307" t="str">
        <f t="shared" si="8"/>
        <v>S6</v>
      </c>
      <c r="E307" t="str">
        <f>[1]!RegExpSubstitute(MID(H307,FIND("- ",H307)+2,FIND("- ",H307,FIND("- ",H307)+1)-FIND("- ",H307)-2),"\&amp;quot\;.*\&amp;quot\;\W","")</f>
        <v xml:space="preserve">Austin Roenick </v>
      </c>
      <c r="G307">
        <f t="shared" si="9"/>
        <v>802</v>
      </c>
      <c r="H307" t="s">
        <v>214</v>
      </c>
    </row>
    <row r="308" spans="1:8" x14ac:dyDescent="0.25">
      <c r="A308">
        <f>COUNTIF($B$2:$B$375,B308)</f>
        <v>1</v>
      </c>
      <c r="B308" t="str">
        <f>[1]!Numerize(MID(H308,FIND("=",H308),10))</f>
        <v>6596</v>
      </c>
      <c r="C308" t="str">
        <f t="shared" si="8"/>
        <v>S6</v>
      </c>
      <c r="E308" t="str">
        <f>[1]!RegExpSubstitute(MID(H308,FIND("- ",H308)+2,FIND("- ",H308,FIND("- ",H308)+1)-FIND("- ",H308)-2),"\&amp;quot\;.*\&amp;quot\;\W","")</f>
        <v xml:space="preserve">Borkus Maximus III </v>
      </c>
      <c r="G308">
        <f t="shared" si="9"/>
        <v>901</v>
      </c>
      <c r="H308" t="s">
        <v>279</v>
      </c>
    </row>
    <row r="309" spans="1:8" x14ac:dyDescent="0.25">
      <c r="A309">
        <f>COUNTIF($B$2:$B$375,B309)</f>
        <v>1</v>
      </c>
      <c r="B309" t="str">
        <f>[1]!Numerize(MID(H309,FIND("=",H309),10))</f>
        <v>6978</v>
      </c>
      <c r="C309" t="str">
        <f t="shared" si="8"/>
        <v>S6</v>
      </c>
      <c r="E309" t="str">
        <f>[1]!RegExpSubstitute(MID(H309,FIND("- ",H309)+2,FIND("- ",H309,FIND("- ",H309)+1)-FIND("- ",H309)-2),"\&amp;quot\;.*\&amp;quot\;\W","")</f>
        <v xml:space="preserve">Borro Gore </v>
      </c>
      <c r="G309">
        <f t="shared" si="9"/>
        <v>150</v>
      </c>
      <c r="H309" t="s">
        <v>195</v>
      </c>
    </row>
    <row r="310" spans="1:8" x14ac:dyDescent="0.25">
      <c r="A310">
        <f>COUNTIF($B$2:$B$375,B310)</f>
        <v>1</v>
      </c>
      <c r="B310" t="str">
        <f>[1]!Numerize(MID(H310,FIND("=",H310),10))</f>
        <v>6405</v>
      </c>
      <c r="C310" t="str">
        <f t="shared" si="8"/>
        <v>S6</v>
      </c>
      <c r="E310" t="str">
        <f>[1]!RegExpSubstitute(MID(H310,FIND("- ",H310)+2,FIND("- ",H310,FIND("- ",H310)+1)-FIND("- ",H310)-2),"\&amp;quot\;.*\&amp;quot\;\W","")</f>
        <v xml:space="preserve">Brian Mills </v>
      </c>
      <c r="G310">
        <f t="shared" si="9"/>
        <v>579</v>
      </c>
      <c r="H310" t="s">
        <v>234</v>
      </c>
    </row>
    <row r="311" spans="1:8" x14ac:dyDescent="0.25">
      <c r="A311">
        <f>COUNTIF($B$2:$B$375,B311)</f>
        <v>1</v>
      </c>
      <c r="B311" t="str">
        <f>[1]!Numerize(MID(H311,FIND("=",H311),10))</f>
        <v>6687</v>
      </c>
      <c r="C311" t="str">
        <f t="shared" si="8"/>
        <v>S6</v>
      </c>
      <c r="E311" t="str">
        <f>[1]!RegExpSubstitute(MID(H311,FIND("- ",H311)+2,FIND("- ",H311,FIND("- ",H311)+1)-FIND("- ",H311)-2),"\&amp;quot\;.*\&amp;quot\;\W","")</f>
        <v xml:space="preserve">Carter Bush </v>
      </c>
      <c r="G311">
        <f t="shared" si="9"/>
        <v>501</v>
      </c>
      <c r="H311" t="s">
        <v>318</v>
      </c>
    </row>
    <row r="312" spans="1:8" x14ac:dyDescent="0.25">
      <c r="A312">
        <f>COUNTIF($B$2:$B$375,B312)</f>
        <v>1</v>
      </c>
      <c r="B312" t="str">
        <f>[1]!Numerize(MID(H312,FIND("=",H312),10))</f>
        <v>6578</v>
      </c>
      <c r="C312" t="str">
        <f t="shared" si="8"/>
        <v>S6</v>
      </c>
      <c r="E312" t="str">
        <f>[1]!RegExpSubstitute(MID(H312,FIND("- ",H312)+2,FIND("- ",H312,FIND("- ",H312)+1)-FIND("- ",H312)-2),"\&amp;quot\;.*\&amp;quot\;\W","")</f>
        <v xml:space="preserve">Forfeit </v>
      </c>
      <c r="G312">
        <f t="shared" si="9"/>
        <v>197</v>
      </c>
      <c r="H312" t="s">
        <v>358</v>
      </c>
    </row>
    <row r="313" spans="1:8" x14ac:dyDescent="0.25">
      <c r="A313">
        <f>COUNTIF($B$2:$B$375,B313)</f>
        <v>1</v>
      </c>
      <c r="B313" t="str">
        <f>[1]!Numerize(MID(H313,FIND("=",H313),10))</f>
        <v>6250</v>
      </c>
      <c r="C313" t="str">
        <f t="shared" si="8"/>
        <v>S6</v>
      </c>
      <c r="E313" t="str">
        <f>[1]!RegExpSubstitute(MID(H313,FIND("- ",H313)+2,FIND("- ",H313,FIND("- ",H313)+1)-FIND("- ",H313)-2),"\&amp;quot\;.*\&amp;quot\;\W","")</f>
        <v xml:space="preserve">Glenn McPoyal </v>
      </c>
      <c r="G313">
        <f t="shared" si="9"/>
        <v>336</v>
      </c>
      <c r="H313" t="s">
        <v>298</v>
      </c>
    </row>
    <row r="314" spans="1:8" x14ac:dyDescent="0.25">
      <c r="A314">
        <f>COUNTIF($B$2:$B$375,B314)</f>
        <v>1</v>
      </c>
      <c r="B314" t="str">
        <f>[1]!Numerize(MID(H314,FIND("=",H314),10))</f>
        <v>6550</v>
      </c>
      <c r="C314" t="str">
        <f t="shared" si="8"/>
        <v>S6</v>
      </c>
      <c r="E314" t="str">
        <f>[1]!RegExpSubstitute(MID(H314,FIND("- ",H314)+2,FIND("- ",H314,FIND("- ",H314)+1)-FIND("- ",H314)-2),"\&amp;quot\;.*\&amp;quot\;\W","")</f>
        <v xml:space="preserve">Jaylon Broxton </v>
      </c>
      <c r="G314">
        <f t="shared" si="9"/>
        <v>894</v>
      </c>
      <c r="H314" t="s">
        <v>297</v>
      </c>
    </row>
    <row r="315" spans="1:8" x14ac:dyDescent="0.25">
      <c r="A315">
        <f>COUNTIF($B$2:$B$375,B315)</f>
        <v>1</v>
      </c>
      <c r="B315" t="str">
        <f>[1]!Numerize(MID(H315,FIND("=",H315),10))</f>
        <v>6395</v>
      </c>
      <c r="C315" t="str">
        <f t="shared" si="8"/>
        <v>S6</v>
      </c>
      <c r="E315" t="str">
        <f>[1]!RegExpSubstitute(MID(H315,FIND("- ",H315)+2,FIND("- ",H315,FIND("- ",H315)+1)-FIND("- ",H315)-2),"\&amp;quot\;.*\&amp;quot\;\W","")</f>
        <v xml:space="preserve">Micycle McCormick </v>
      </c>
      <c r="G315">
        <f t="shared" si="9"/>
        <v>916</v>
      </c>
      <c r="H315" t="s">
        <v>235</v>
      </c>
    </row>
    <row r="316" spans="1:8" x14ac:dyDescent="0.25">
      <c r="A316">
        <f>COUNTIF($B$2:$B$375,B316)</f>
        <v>1</v>
      </c>
      <c r="B316" t="str">
        <f>[1]!Numerize(MID(H316,FIND("=",H316),10))</f>
        <v>6214</v>
      </c>
      <c r="C316" t="str">
        <f t="shared" si="8"/>
        <v>S6</v>
      </c>
      <c r="E316" t="str">
        <f>[1]!RegExpSubstitute(MID(H316,FIND("- ",H316)+2,FIND("- ",H316,FIND("- ",H316)+1)-FIND("- ",H316)-2),"\&amp;quot\;.*\&amp;quot\;\W","")</f>
        <v xml:space="preserve">Norman Bagwell </v>
      </c>
      <c r="G316">
        <f t="shared" si="9"/>
        <v>201</v>
      </c>
      <c r="H316" t="s">
        <v>196</v>
      </c>
    </row>
    <row r="317" spans="1:8" x14ac:dyDescent="0.25">
      <c r="A317">
        <f>COUNTIF($B$2:$B$375,B317)</f>
        <v>1</v>
      </c>
      <c r="B317" t="str">
        <f>[1]!Numerize(MID(H317,FIND("=",H317),10))</f>
        <v>7263</v>
      </c>
      <c r="C317" t="str">
        <f t="shared" si="8"/>
        <v>S7</v>
      </c>
      <c r="E317" t="str">
        <f>[1]!RegExpSubstitute(MID(H317,FIND("- ",H317)+2,FIND("- ",H317,FIND("- ",H317)+1)-FIND("- ",H317)-2),"\&amp;quot\;.*\&amp;quot\;\W","")</f>
        <v xml:space="preserve">Alvin Chipmunk </v>
      </c>
      <c r="G317">
        <f t="shared" si="9"/>
        <v>161</v>
      </c>
      <c r="H317" t="s">
        <v>232</v>
      </c>
    </row>
    <row r="318" spans="1:8" x14ac:dyDescent="0.25">
      <c r="A318">
        <f>COUNTIF($B$2:$B$375,B318)</f>
        <v>1</v>
      </c>
      <c r="B318" t="str">
        <f>[1]!Numerize(MID(H318,FIND("=",H318),10))</f>
        <v>7221</v>
      </c>
      <c r="C318" t="str">
        <f t="shared" si="8"/>
        <v>S7</v>
      </c>
      <c r="E318" t="str">
        <f>[1]!RegExpSubstitute(MID(H318,FIND("- ",H318)+2,FIND("- ",H318,FIND("- ",H318)+1)-FIND("- ",H318)-2),"\&amp;quot\;.*\&amp;quot\;\W","")</f>
        <v xml:space="preserve">Howard Miller </v>
      </c>
      <c r="G318">
        <f t="shared" si="9"/>
        <v>984</v>
      </c>
      <c r="H318" t="s">
        <v>233</v>
      </c>
    </row>
    <row r="319" spans="1:8" x14ac:dyDescent="0.25">
      <c r="A319">
        <f>COUNTIF($B$2:$B$375,B319)</f>
        <v>1</v>
      </c>
      <c r="B319" t="str">
        <f>[1]!Numerize(MID(H319,FIND("=",H319),10))</f>
        <v>7561</v>
      </c>
      <c r="C319" t="str">
        <f t="shared" si="8"/>
        <v>S7</v>
      </c>
      <c r="E319" t="str">
        <f>[1]!RegExpSubstitute(MID(H319,FIND("- ",H319)+2,FIND("- ",H319,FIND("- ",H319)+1)-FIND("- ",H319)-2),"\&amp;quot\;.*\&amp;quot\;\W","")</f>
        <v xml:space="preserve">Mark Grau </v>
      </c>
      <c r="G319">
        <f t="shared" si="9"/>
        <v>339</v>
      </c>
      <c r="H319" t="s">
        <v>231</v>
      </c>
    </row>
    <row r="320" spans="1:8" x14ac:dyDescent="0.25">
      <c r="A320">
        <f>COUNTIF($B$2:$B$375,B320)</f>
        <v>1</v>
      </c>
      <c r="B320" t="str">
        <f>[1]!Numerize(MID(H320,FIND("=",H320),10))</f>
        <v>7823</v>
      </c>
      <c r="C320" t="str">
        <f t="shared" si="8"/>
        <v>S7</v>
      </c>
      <c r="E320" t="str">
        <f>[1]!RegExpSubstitute(MID(H320,FIND("- ",H320)+2,FIND("- ",H320,FIND("- ",H320)+1)-FIND("- ",H320)-2),"\&amp;quot\;.*\&amp;quot\;\W","")</f>
        <v xml:space="preserve">Mason Brown </v>
      </c>
      <c r="G320">
        <f t="shared" si="9"/>
        <v>811</v>
      </c>
      <c r="H320" t="s">
        <v>296</v>
      </c>
    </row>
    <row r="321" spans="1:8" x14ac:dyDescent="0.25">
      <c r="A321">
        <f>COUNTIF($B$2:$B$375,B321)</f>
        <v>1</v>
      </c>
      <c r="B321" t="str">
        <f>[1]!Numerize(MID(H321,FIND("=",H321),10))</f>
        <v>7424</v>
      </c>
      <c r="C321" t="str">
        <f t="shared" si="8"/>
        <v>S7</v>
      </c>
      <c r="E321" t="str">
        <f>[1]!RegExpSubstitute(MID(H321,FIND("- ",H321)+2,FIND("- ",H321,FIND("- ",H321)+1)-FIND("- ",H321)-2),"\&amp;quot\;.*\&amp;quot\;\W","")</f>
        <v xml:space="preserve">Ryan Applehort </v>
      </c>
      <c r="G321">
        <f t="shared" si="9"/>
        <v>1158</v>
      </c>
      <c r="H321" t="s">
        <v>357</v>
      </c>
    </row>
    <row r="322" spans="1:8" x14ac:dyDescent="0.25">
      <c r="A322">
        <f>COUNTIF($B$2:$B$375,B322)</f>
        <v>1</v>
      </c>
      <c r="B322" t="str">
        <f>[1]!Numerize(MID(H322,FIND("=",H322),10))</f>
        <v>7710</v>
      </c>
      <c r="C322" t="str">
        <f t="shared" si="8"/>
        <v>S7</v>
      </c>
      <c r="E322" t="str">
        <f>[1]!RegExpSubstitute(MID(H322,FIND("- ",H322)+2,FIND("- ",H322,FIND("- ",H322)+1)-FIND("- ",H322)-2),"\&amp;quot\;.*\&amp;quot\;\W","")</f>
        <v xml:space="preserve">Verso L'Alto </v>
      </c>
      <c r="G322">
        <f t="shared" si="9"/>
        <v>1169</v>
      </c>
      <c r="H322" t="s">
        <v>213</v>
      </c>
    </row>
    <row r="323" spans="1:8" x14ac:dyDescent="0.25">
      <c r="A323">
        <f>COUNTIF($B$2:$B$375,B323)</f>
        <v>1</v>
      </c>
      <c r="B323" t="str">
        <f>[1]!Numerize(MID(H323,FIND("=",H323),10))</f>
        <v>7650</v>
      </c>
      <c r="C323" t="str">
        <f t="shared" ref="C323:C354" si="10">MID(H323,FIND("(",H323)+1,FIND(")",H323)-FIND("(",H323)-1)</f>
        <v>S7</v>
      </c>
      <c r="E323" t="str">
        <f>[1]!RegExpSubstitute(MID(H323,FIND("- ",H323)+2,FIND("- ",H323,FIND("- ",H323)+1)-FIND("- ",H323)-2),"\&amp;quot\;.*\&amp;quot\;\W","")</f>
        <v xml:space="preserve">Vladimir Fyodorovich </v>
      </c>
      <c r="G323">
        <f t="shared" ref="G323:G373" si="11">MID(H323,FIND("TPE: ",H323)+5,FIND(", ",H323,FIND("TPE: ",H323))-FIND("TPE: ",H323)-5)+0</f>
        <v>1146</v>
      </c>
      <c r="H323" t="s">
        <v>278</v>
      </c>
    </row>
    <row r="324" spans="1:8" x14ac:dyDescent="0.25">
      <c r="A324">
        <f>COUNTIF($B$2:$B$375,B324)</f>
        <v>1</v>
      </c>
      <c r="B324" t="str">
        <f>[1]!Numerize(MID(H324,FIND("=",H324),10))</f>
        <v>7874</v>
      </c>
      <c r="C324" t="str">
        <f t="shared" si="10"/>
        <v>S7</v>
      </c>
      <c r="E324" t="str">
        <f>[1]!RegExpSubstitute(MID(H324,FIND("- ",H324)+2,FIND("- ",H324,FIND("- ",H324)+1)-FIND("- ",H324)-2),"\&amp;quot\;.*\&amp;quot\;\W","")</f>
        <v xml:space="preserve">Zach Skinner </v>
      </c>
      <c r="G324">
        <f t="shared" si="11"/>
        <v>463</v>
      </c>
      <c r="H324" t="s">
        <v>356</v>
      </c>
    </row>
    <row r="325" spans="1:8" x14ac:dyDescent="0.25">
      <c r="A325">
        <f>COUNTIF($B$2:$B$375,B325)</f>
        <v>1</v>
      </c>
      <c r="B325" t="str">
        <f>[1]!Numerize(MID(H325,FIND("=",H325),10))</f>
        <v>8524</v>
      </c>
      <c r="C325" t="str">
        <f t="shared" si="10"/>
        <v>S8</v>
      </c>
      <c r="E325" t="str">
        <f>[1]!RegExpSubstitute(MID(H325,FIND("- ",H325)+2,FIND("- ",H325,FIND("- ",H325)+1)-FIND("- ",H325)-2),"\&amp;quot\;.*\&amp;quot\;\W","")</f>
        <v xml:space="preserve">Balthazar Crindy </v>
      </c>
      <c r="G325">
        <f t="shared" si="11"/>
        <v>510</v>
      </c>
      <c r="H325" t="s">
        <v>368</v>
      </c>
    </row>
    <row r="326" spans="1:8" x14ac:dyDescent="0.25">
      <c r="A326">
        <f>COUNTIF($B$2:$B$375,B326)</f>
        <v>1</v>
      </c>
      <c r="B326" t="str">
        <f>[1]!Numerize(MID(H326,FIND("=",H326),10))</f>
        <v>7941</v>
      </c>
      <c r="C326" t="str">
        <f t="shared" si="10"/>
        <v>S8</v>
      </c>
      <c r="E326" t="str">
        <f>[1]!RegExpSubstitute(MID(H326,FIND("- ",H326)+2,FIND("- ",H326,FIND("- ",H326)+1)-FIND("- ",H326)-2),"\&amp;quot\;.*\&amp;quot\;\W","")</f>
        <v xml:space="preserve">Beat Meoff </v>
      </c>
      <c r="G326">
        <f t="shared" si="11"/>
        <v>170</v>
      </c>
      <c r="H326" t="s">
        <v>276</v>
      </c>
    </row>
    <row r="327" spans="1:8" x14ac:dyDescent="0.25">
      <c r="A327">
        <f>COUNTIF($B$2:$B$375,B327)</f>
        <v>1</v>
      </c>
      <c r="B327" t="str">
        <f>[1]!Numerize(MID(H327,FIND("=",H327),10))</f>
        <v>8172</v>
      </c>
      <c r="C327" t="str">
        <f t="shared" si="10"/>
        <v>S8</v>
      </c>
      <c r="E327" t="str">
        <f>[1]!RegExpSubstitute(MID(H327,FIND("- ",H327)+2,FIND("- ",H327,FIND("- ",H327)+1)-FIND("- ",H327)-2),"\&amp;quot\;.*\&amp;quot\;\W","")</f>
        <v xml:space="preserve">Ben Horne </v>
      </c>
      <c r="G327">
        <f t="shared" si="11"/>
        <v>980</v>
      </c>
      <c r="H327" t="s">
        <v>211</v>
      </c>
    </row>
    <row r="328" spans="1:8" x14ac:dyDescent="0.25">
      <c r="A328">
        <f>COUNTIF($B$2:$B$375,B328)</f>
        <v>1</v>
      </c>
      <c r="B328" t="str">
        <f>[1]!Numerize(MID(H328,FIND("=",H328),10))</f>
        <v>8034</v>
      </c>
      <c r="C328" t="str">
        <f t="shared" si="10"/>
        <v>S8</v>
      </c>
      <c r="E328" t="str">
        <f>[1]!RegExpSubstitute(MID(H328,FIND("- ",H328)+2,FIND("- ",H328,FIND("- ",H328)+1)-FIND("- ",H328)-2),"\&amp;quot\;.*\&amp;quot\;\W","")</f>
        <v xml:space="preserve">Brad Pennington </v>
      </c>
      <c r="G328">
        <f t="shared" si="11"/>
        <v>688</v>
      </c>
      <c r="H328" t="s">
        <v>355</v>
      </c>
    </row>
    <row r="329" spans="1:8" x14ac:dyDescent="0.25">
      <c r="A329">
        <f>COUNTIF($B$2:$B$375,B329)</f>
        <v>1</v>
      </c>
      <c r="B329" t="str">
        <f>[1]!Numerize(MID(H329,FIND("=",H329),10))</f>
        <v>7930</v>
      </c>
      <c r="C329" t="str">
        <f t="shared" si="10"/>
        <v>S8</v>
      </c>
      <c r="E329" t="str">
        <f>[1]!RegExpSubstitute(MID(H329,FIND("- ",H329)+2,FIND("- ",H329,FIND("- ",H329)+1)-FIND("- ",H329)-2),"\&amp;quot\;.*\&amp;quot\;\W","")</f>
        <v xml:space="preserve">Chad Pennington </v>
      </c>
      <c r="G329">
        <f t="shared" si="11"/>
        <v>1142</v>
      </c>
      <c r="H329" t="s">
        <v>339</v>
      </c>
    </row>
    <row r="330" spans="1:8" x14ac:dyDescent="0.25">
      <c r="A330">
        <f>COUNTIF($B$2:$B$375,B330)</f>
        <v>1</v>
      </c>
      <c r="B330" t="str">
        <f>[1]!Numerize(MID(H330,FIND("=",H330),10))</f>
        <v>7976</v>
      </c>
      <c r="C330" t="str">
        <f t="shared" si="10"/>
        <v>S8</v>
      </c>
      <c r="E330" t="str">
        <f>[1]!RegExpSubstitute(MID(H330,FIND("- ",H330)+2,FIND("- ",H330,FIND("- ",H330)+1)-FIND("- ",H330)-2),"\&amp;quot\;.*\&amp;quot\;\W","")</f>
        <v xml:space="preserve">Childish Gambino </v>
      </c>
      <c r="G330">
        <f t="shared" si="11"/>
        <v>1004</v>
      </c>
      <c r="H330" t="s">
        <v>212</v>
      </c>
    </row>
    <row r="331" spans="1:8" x14ac:dyDescent="0.25">
      <c r="A331">
        <f>COUNTIF($B$2:$B$375,B331)</f>
        <v>1</v>
      </c>
      <c r="B331" t="str">
        <f>[1]!Numerize(MID(H331,FIND("=",H331),10))</f>
        <v>8231</v>
      </c>
      <c r="C331" t="str">
        <f t="shared" si="10"/>
        <v>S8</v>
      </c>
      <c r="E331" t="str">
        <f>[1]!RegExpSubstitute(MID(H331,FIND("- ",H331)+2,FIND("- ",H331,FIND("- ",H331)+1)-FIND("- ",H331)-2),"\&amp;quot\;.*\&amp;quot\;\W","")</f>
        <v xml:space="preserve">D.J. Riddick </v>
      </c>
      <c r="G331">
        <f t="shared" si="11"/>
        <v>124</v>
      </c>
      <c r="H331" t="s">
        <v>261</v>
      </c>
    </row>
    <row r="332" spans="1:8" x14ac:dyDescent="0.25">
      <c r="A332">
        <f>COUNTIF($B$2:$B$375,B332)</f>
        <v>1</v>
      </c>
      <c r="B332" t="str">
        <f>[1]!Numerize(MID(H332,FIND("=",H332),10))</f>
        <v>8230</v>
      </c>
      <c r="C332" t="str">
        <f t="shared" si="10"/>
        <v>S8</v>
      </c>
      <c r="E332" t="str">
        <f>[1]!RegExpSubstitute(MID(H332,FIND("- ",H332)+2,FIND("- ",H332,FIND("- ",H332)+1)-FIND("- ",H332)-2),"\&amp;quot\;.*\&amp;quot\;\W","")</f>
        <v xml:space="preserve">Fonz Nuno </v>
      </c>
      <c r="G332">
        <f t="shared" si="11"/>
        <v>67</v>
      </c>
      <c r="H332" t="s">
        <v>194</v>
      </c>
    </row>
    <row r="333" spans="1:8" x14ac:dyDescent="0.25">
      <c r="A333">
        <f>COUNTIF($B$2:$B$375,B333)</f>
        <v>1</v>
      </c>
      <c r="B333" t="str">
        <f>[1]!Numerize(MID(H333,FIND("=",H333),10))</f>
        <v>8209</v>
      </c>
      <c r="C333" t="str">
        <f t="shared" si="10"/>
        <v>S8</v>
      </c>
      <c r="E333" t="str">
        <f>[1]!RegExpSubstitute(MID(H333,FIND("- ",H333)+2,FIND("- ",H333,FIND("- ",H333)+1)-FIND("- ",H333)-2),"\&amp;quot\;.*\&amp;quot\;\W","")</f>
        <v xml:space="preserve">Hammer Jack </v>
      </c>
      <c r="G333">
        <f t="shared" si="11"/>
        <v>73</v>
      </c>
      <c r="H333" t="s">
        <v>193</v>
      </c>
    </row>
    <row r="334" spans="1:8" x14ac:dyDescent="0.25">
      <c r="A334">
        <f>COUNTIF($B$2:$B$375,B334)</f>
        <v>1</v>
      </c>
      <c r="B334" t="str">
        <f>[1]!Numerize(MID(H334,FIND("=",H334),10))</f>
        <v>8249</v>
      </c>
      <c r="C334" t="str">
        <f t="shared" si="10"/>
        <v>S8</v>
      </c>
      <c r="E334" t="str">
        <f>[1]!RegExpSubstitute(MID(H334,FIND("- ",H334)+2,FIND("- ",H334,FIND("- ",H334)+1)-FIND("- ",H334)-2),"\&amp;quot\;.*\&amp;quot\;\W","")</f>
        <v xml:space="preserve">Harry Balzac </v>
      </c>
      <c r="G334">
        <f t="shared" si="11"/>
        <v>50</v>
      </c>
      <c r="H334" t="s">
        <v>260</v>
      </c>
    </row>
    <row r="335" spans="1:8" x14ac:dyDescent="0.25">
      <c r="A335">
        <f>COUNTIF($B$2:$B$375,B335)</f>
        <v>1</v>
      </c>
      <c r="B335" t="str">
        <f>[1]!Numerize(MID(H335,FIND("=",H335),10))</f>
        <v>8151</v>
      </c>
      <c r="C335" t="str">
        <f t="shared" si="10"/>
        <v>S8</v>
      </c>
      <c r="E335" t="str">
        <f>[1]!RegExpSubstitute(MID(H335,FIND("- ",H335)+2,FIND("- ",H335,FIND("- ",H335)+1)-FIND("- ",H335)-2),"\&amp;quot\;.*\&amp;quot\;\W","")</f>
        <v xml:space="preserve">Justin Davis </v>
      </c>
      <c r="G335">
        <f t="shared" si="11"/>
        <v>55</v>
      </c>
      <c r="H335" t="s">
        <v>262</v>
      </c>
    </row>
    <row r="336" spans="1:8" x14ac:dyDescent="0.25">
      <c r="A336">
        <f>COUNTIF($B$2:$B$375,B336)</f>
        <v>1</v>
      </c>
      <c r="B336" t="str">
        <f>[1]!Numerize(MID(H336,FIND("=",H336),10))</f>
        <v>8344</v>
      </c>
      <c r="C336" t="str">
        <f t="shared" si="10"/>
        <v>S8</v>
      </c>
      <c r="E336" t="str">
        <f>[1]!RegExpSubstitute(MID(H336,FIND("- ",H336)+2,FIND("- ",H336,FIND("- ",H336)+1)-FIND("- ",H336)-2),"\&amp;quot\;.*\&amp;quot\;\W","")</f>
        <v xml:space="preserve">Klaus DerFisch </v>
      </c>
      <c r="G336">
        <f t="shared" si="11"/>
        <v>54</v>
      </c>
      <c r="H336" t="s">
        <v>257</v>
      </c>
    </row>
    <row r="337" spans="1:8" x14ac:dyDescent="0.25">
      <c r="A337">
        <f>COUNTIF($B$2:$B$375,B337)</f>
        <v>1</v>
      </c>
      <c r="B337" t="str">
        <f>[1]!Numerize(MID(H337,FIND("=",H337),10))</f>
        <v>8396</v>
      </c>
      <c r="C337" t="str">
        <f t="shared" si="10"/>
        <v>S8</v>
      </c>
      <c r="E337" t="str">
        <f>[1]!RegExpSubstitute(MID(H337,FIND("- ",H337)+2,FIND("- ",H337,FIND("- ",H337)+1)-FIND("- ",H337)-2),"\&amp;quot\;.*\&amp;quot\;\W","")</f>
        <v>Omar Wrong</v>
      </c>
      <c r="G337">
        <f t="shared" si="11"/>
        <v>146</v>
      </c>
      <c r="H337" t="s">
        <v>230</v>
      </c>
    </row>
    <row r="338" spans="1:8" x14ac:dyDescent="0.25">
      <c r="A338">
        <f>COUNTIF($B$2:$B$375,B338)</f>
        <v>1</v>
      </c>
      <c r="B338" t="str">
        <f>[1]!Numerize(MID(H338,FIND("=",H338),10))</f>
        <v>8030</v>
      </c>
      <c r="C338" t="str">
        <f t="shared" si="10"/>
        <v>S8</v>
      </c>
      <c r="E338" t="str">
        <f>[1]!RegExpSubstitute(MID(H338,FIND("- ",H338)+2,FIND("- ",H338,FIND("- ",H338)+1)-FIND("- ",H338)-2),"\&amp;quot\;.*\&amp;quot\;\W","")</f>
        <v xml:space="preserve">Ramadan Steve </v>
      </c>
      <c r="G338">
        <f t="shared" si="11"/>
        <v>152</v>
      </c>
      <c r="H338" t="s">
        <v>354</v>
      </c>
    </row>
    <row r="339" spans="1:8" x14ac:dyDescent="0.25">
      <c r="A339">
        <f>COUNTIF($B$2:$B$375,B339)</f>
        <v>1</v>
      </c>
      <c r="B339" t="str">
        <f>[1]!Numerize(MID(H339,FIND("=",H339),10))</f>
        <v>7834</v>
      </c>
      <c r="C339" t="str">
        <f t="shared" si="10"/>
        <v>S8</v>
      </c>
      <c r="E339" t="str">
        <f>[1]!RegExpSubstitute(MID(H339,FIND("- ",H339)+2,FIND("- ",H339,FIND("- ",H339)+1)-FIND("- ",H339)-2),"\&amp;quot\;.*\&amp;quot\;\W","")</f>
        <v xml:space="preserve">Rickey Ramero </v>
      </c>
      <c r="G339">
        <f t="shared" si="11"/>
        <v>551</v>
      </c>
      <c r="H339" t="s">
        <v>295</v>
      </c>
    </row>
    <row r="340" spans="1:8" x14ac:dyDescent="0.25">
      <c r="A340">
        <f>COUNTIF($B$2:$B$375,B340)</f>
        <v>1</v>
      </c>
      <c r="B340" t="str">
        <f>[1]!Numerize(MID(H340,FIND("=",H340),10))</f>
        <v>8256</v>
      </c>
      <c r="C340" t="str">
        <f t="shared" si="10"/>
        <v>S8</v>
      </c>
      <c r="E340" t="str">
        <f>[1]!RegExpSubstitute(MID(H340,FIND("- ",H340)+2,FIND("- ",H340,FIND("- ",H340)+1)-FIND("- ",H340)-2),"\&amp;quot\;.*\&amp;quot\;\W","")</f>
        <v xml:space="preserve">Seth Wallace </v>
      </c>
      <c r="G340">
        <f t="shared" si="11"/>
        <v>50</v>
      </c>
      <c r="H340" t="s">
        <v>259</v>
      </c>
    </row>
    <row r="341" spans="1:8" x14ac:dyDescent="0.25">
      <c r="A341">
        <f>COUNTIF($B$2:$B$375,B341)</f>
        <v>1</v>
      </c>
      <c r="B341" t="str">
        <f>[1]!Numerize(MID(H341,FIND("=",H341),10))</f>
        <v>7933</v>
      </c>
      <c r="C341" t="str">
        <f t="shared" si="10"/>
        <v>S8</v>
      </c>
      <c r="E341" t="str">
        <f>[1]!RegExpSubstitute(MID(H341,FIND("- ",H341)+2,FIND("- ",H341,FIND("- ",H341)+1)-FIND("- ",H341)-2),"\&amp;quot\;.*\&amp;quot\;\W","")</f>
        <v xml:space="preserve">Thad Pennington </v>
      </c>
      <c r="G341">
        <f t="shared" si="11"/>
        <v>713</v>
      </c>
      <c r="H341" t="s">
        <v>338</v>
      </c>
    </row>
    <row r="342" spans="1:8" x14ac:dyDescent="0.25">
      <c r="A342">
        <f>COUNTIF($B$2:$B$375,B342)</f>
        <v>1</v>
      </c>
      <c r="B342" t="str">
        <f>[1]!Numerize(MID(H342,FIND("=",H342),10))</f>
        <v>8297</v>
      </c>
      <c r="C342" t="str">
        <f t="shared" si="10"/>
        <v>S8</v>
      </c>
      <c r="E342" t="str">
        <f>[1]!RegExpSubstitute(MID(H342,FIND("- ",H342)+2,FIND("- ",H342,FIND("- ",H342)+1)-FIND("- ",H342)-2),"\&amp;quot\;.*\&amp;quot\;\W","")</f>
        <v xml:space="preserve">Vance Sachs </v>
      </c>
      <c r="G342">
        <f t="shared" si="11"/>
        <v>81</v>
      </c>
      <c r="H342" t="s">
        <v>258</v>
      </c>
    </row>
    <row r="343" spans="1:8" x14ac:dyDescent="0.25">
      <c r="A343">
        <f>COUNTIF($B$2:$B$375,B343)</f>
        <v>1</v>
      </c>
      <c r="B343" t="str">
        <f>[1]!Numerize(MID(H343,FIND("=",H343),10))</f>
        <v>8061</v>
      </c>
      <c r="C343" t="str">
        <f t="shared" si="10"/>
        <v>S8</v>
      </c>
      <c r="E343" t="str">
        <f>[1]!RegExpSubstitute(MID(H343,FIND("- ",H343)+2,FIND("- ",H343,FIND("- ",H343)+1)-FIND("- ",H343)-2),"\&amp;quot\;.*\&amp;quot\;\W","")</f>
        <v xml:space="preserve">Viggo Squanch </v>
      </c>
      <c r="G343">
        <f t="shared" si="11"/>
        <v>779</v>
      </c>
      <c r="H343" t="s">
        <v>369</v>
      </c>
    </row>
    <row r="344" spans="1:8" x14ac:dyDescent="0.25">
      <c r="A344">
        <f>COUNTIF($B$2:$B$375,B344)</f>
        <v>1</v>
      </c>
      <c r="B344" t="str">
        <f>[1]!Numerize(MID(H344,FIND("=",H344),10))</f>
        <v>7904</v>
      </c>
      <c r="C344" t="str">
        <f t="shared" si="10"/>
        <v>S8</v>
      </c>
      <c r="E344" t="str">
        <f>[1]!RegExpSubstitute(MID(H344,FIND("- ",H344)+2,FIND("- ",H344,FIND("- ",H344)+1)-FIND("- ",H344)-2),"\&amp;quot\;.*\&amp;quot\;\W","")</f>
        <v xml:space="preserve">William H. Harrison </v>
      </c>
      <c r="G344">
        <f t="shared" si="11"/>
        <v>882</v>
      </c>
      <c r="H344" t="s">
        <v>277</v>
      </c>
    </row>
    <row r="345" spans="1:8" x14ac:dyDescent="0.25">
      <c r="A345">
        <f>COUNTIF($B$2:$B$375,B345)</f>
        <v>1</v>
      </c>
      <c r="B345" t="str">
        <f>[1]!Numerize(MID(H345,FIND("=",H345),10))</f>
        <v>8693</v>
      </c>
      <c r="C345" t="str">
        <f t="shared" si="10"/>
        <v>S9</v>
      </c>
      <c r="E345" t="str">
        <f>[1]!RegExpSubstitute(MID(H345,FIND("- ",H345)+2,FIND("- ",H345,FIND("- ",H345)+1)-FIND("- ",H345)-2),"\&amp;quot\;.*\&amp;quot\;\W","")</f>
        <v xml:space="preserve">Alsan Arshad </v>
      </c>
      <c r="G345">
        <f t="shared" si="11"/>
        <v>71</v>
      </c>
      <c r="H345" t="s">
        <v>253</v>
      </c>
    </row>
    <row r="346" spans="1:8" x14ac:dyDescent="0.25">
      <c r="A346">
        <f>COUNTIF($B$2:$B$375,B346)</f>
        <v>1</v>
      </c>
      <c r="B346" t="str">
        <f>[1]!Numerize(MID(H346,FIND("=",H346),10))</f>
        <v>9076</v>
      </c>
      <c r="C346" t="str">
        <f t="shared" si="10"/>
        <v>S9</v>
      </c>
      <c r="E346" t="str">
        <f>[1]!RegExpSubstitute(MID(H346,FIND("- ",H346)+2,FIND("- ",H346,FIND("- ",H346)+1)-FIND("- ",H346)-2),"\&amp;quot\;.*\&amp;quot\;\W","")</f>
        <v xml:space="preserve">Andreas Metaxas </v>
      </c>
      <c r="G346">
        <f t="shared" si="11"/>
        <v>381</v>
      </c>
      <c r="H346" t="s">
        <v>250</v>
      </c>
    </row>
    <row r="347" spans="1:8" x14ac:dyDescent="0.25">
      <c r="A347">
        <f>COUNTIF($B$2:$B$375,B347)</f>
        <v>1</v>
      </c>
      <c r="B347" t="str">
        <f>[1]!Numerize(MID(H347,FIND("=",H347),10))</f>
        <v>8797</v>
      </c>
      <c r="C347" t="str">
        <f t="shared" si="10"/>
        <v>S9</v>
      </c>
      <c r="E347" t="str">
        <f>[1]!RegExpSubstitute(MID(H347,FIND("- ",H347)+2,FIND("- ",H347,FIND("- ",H347)+1)-FIND("- ",H347)-2),"\&amp;quot\;.*\&amp;quot\;\W","")</f>
        <v xml:space="preserve">Barnaby Earl </v>
      </c>
      <c r="G347">
        <f t="shared" si="11"/>
        <v>214</v>
      </c>
      <c r="H347" t="s">
        <v>275</v>
      </c>
    </row>
    <row r="348" spans="1:8" x14ac:dyDescent="0.25">
      <c r="A348">
        <f>COUNTIF($B$2:$B$375,B348)</f>
        <v>1</v>
      </c>
      <c r="B348" t="str">
        <f>[1]!Numerize(MID(H348,FIND("=",H348),10))</f>
        <v>8553</v>
      </c>
      <c r="C348" t="str">
        <f t="shared" si="10"/>
        <v>S9</v>
      </c>
      <c r="E348" t="str">
        <f>[1]!RegExpSubstitute(MID(H348,FIND("- ",H348)+2,FIND("- ",H348,FIND("- ",H348)+1)-FIND("- ",H348)-2),"\&amp;quot\;.*\&amp;quot\;\W","")</f>
        <v xml:space="preserve">Bucky Barnes </v>
      </c>
      <c r="G348">
        <f t="shared" si="11"/>
        <v>985</v>
      </c>
      <c r="H348" t="s">
        <v>317</v>
      </c>
    </row>
    <row r="349" spans="1:8" x14ac:dyDescent="0.25">
      <c r="A349">
        <f>COUNTIF($B$2:$B$375,B349)</f>
        <v>1</v>
      </c>
      <c r="B349" t="str">
        <f>[1]!Numerize(MID(H349,FIND("=",H349),10))</f>
        <v>8626</v>
      </c>
      <c r="C349" t="str">
        <f t="shared" si="10"/>
        <v>S9</v>
      </c>
      <c r="E349" t="str">
        <f>[1]!RegExpSubstitute(MID(H349,FIND("- ",H349)+2,FIND("- ",H349,FIND("- ",H349)+1)-FIND("- ",H349)-2),"\&amp;quot\;.*\&amp;quot\;\W","")</f>
        <v xml:space="preserve">Daquan Richardson </v>
      </c>
      <c r="G349">
        <f t="shared" si="11"/>
        <v>77</v>
      </c>
      <c r="H349" t="s">
        <v>255</v>
      </c>
    </row>
    <row r="350" spans="1:8" x14ac:dyDescent="0.25">
      <c r="A350">
        <f>COUNTIF($B$2:$B$375,B350)</f>
        <v>1</v>
      </c>
      <c r="B350" t="str">
        <f>[1]!Numerize(MID(H350,FIND("=",H350),10))</f>
        <v>8613</v>
      </c>
      <c r="C350" t="str">
        <f t="shared" si="10"/>
        <v>S9</v>
      </c>
      <c r="E350" t="str">
        <f>[1]!RegExpSubstitute(MID(H350,FIND("- ",H350)+2,FIND("- ",H350,FIND("- ",H350)+1)-FIND("- ",H350)-2),"\&amp;quot\;.*\&amp;quot\;\W","")</f>
        <v xml:space="preserve">Deangelo Warren </v>
      </c>
      <c r="G350">
        <f t="shared" si="11"/>
        <v>50</v>
      </c>
      <c r="H350" t="s">
        <v>256</v>
      </c>
    </row>
    <row r="351" spans="1:8" x14ac:dyDescent="0.25">
      <c r="A351">
        <f>COUNTIF($B$2:$B$375,B351)</f>
        <v>1</v>
      </c>
      <c r="B351" t="str">
        <f>[1]!Numerize(MID(H351,FIND("=",H351),10))</f>
        <v>8580</v>
      </c>
      <c r="C351" t="str">
        <f t="shared" si="10"/>
        <v>S9</v>
      </c>
      <c r="E351" t="str">
        <f>[1]!RegExpSubstitute(MID(H351,FIND("- ",H351)+2,FIND("- ",H351,FIND("- ",H351)+1)-FIND("- ",H351)-2),"\&amp;quot\;.*\&amp;quot\;\W","")</f>
        <v xml:space="preserve">Declan Harp </v>
      </c>
      <c r="G351">
        <f t="shared" si="11"/>
        <v>740</v>
      </c>
      <c r="H351" t="s">
        <v>210</v>
      </c>
    </row>
    <row r="352" spans="1:8" x14ac:dyDescent="0.25">
      <c r="A352">
        <f>COUNTIF($B$2:$B$375,B352)</f>
        <v>1</v>
      </c>
      <c r="B352" t="str">
        <f>[1]!Numerize(MID(H352,FIND("=",H352),10))</f>
        <v>9132</v>
      </c>
      <c r="C352" t="str">
        <f t="shared" si="10"/>
        <v>S9</v>
      </c>
      <c r="E352" t="str">
        <f>[1]!RegExpSubstitute(MID(H352,FIND("- ",H352)+2,FIND("- ",H352,FIND("- ",H352)+1)-FIND("- ",H352)-2),"\&amp;quot\;.*\&amp;quot\;\W","")</f>
        <v xml:space="preserve">Deion Jackson </v>
      </c>
      <c r="G352">
        <f t="shared" si="11"/>
        <v>57</v>
      </c>
      <c r="H352" t="s">
        <v>248</v>
      </c>
    </row>
    <row r="353" spans="1:8" x14ac:dyDescent="0.25">
      <c r="A353">
        <f>COUNTIF($B$2:$B$375,B353)</f>
        <v>1</v>
      </c>
      <c r="B353" t="str">
        <f>[1]!Numerize(MID(H353,FIND("=",H353),10))</f>
        <v>8634</v>
      </c>
      <c r="C353" t="str">
        <f t="shared" si="10"/>
        <v>S9</v>
      </c>
      <c r="E353" t="str">
        <f>[1]!RegExpSubstitute(MID(H353,FIND("- ",H353)+2,FIND("- ",H353,FIND("- ",H353)+1)-FIND("- ",H353)-2),"\&amp;quot\;.*\&amp;quot\;\W","")</f>
        <v xml:space="preserve">Emilio Ramero </v>
      </c>
      <c r="G353">
        <f t="shared" si="11"/>
        <v>116</v>
      </c>
      <c r="H353" t="s">
        <v>254</v>
      </c>
    </row>
    <row r="354" spans="1:8" x14ac:dyDescent="0.25">
      <c r="A354">
        <f>COUNTIF($B$2:$B$375,B354)</f>
        <v>1</v>
      </c>
      <c r="B354" t="str">
        <f>[1]!Numerize(MID(H354,FIND("=",H354),10))</f>
        <v>9110</v>
      </c>
      <c r="C354" t="str">
        <f t="shared" si="10"/>
        <v>S9</v>
      </c>
      <c r="E354" t="str">
        <f>[1]!RegExpSubstitute(MID(H354,FIND("- ",H354)+2,FIND("- ",H354,FIND("- ",H354)+1)-FIND("- ",H354)-2),"\&amp;quot\;.*\&amp;quot\;\W","")</f>
        <v xml:space="preserve">Fin Jameson </v>
      </c>
      <c r="G354">
        <f t="shared" si="11"/>
        <v>57</v>
      </c>
      <c r="H354" t="s">
        <v>249</v>
      </c>
    </row>
    <row r="355" spans="1:8" x14ac:dyDescent="0.25">
      <c r="A355">
        <f>COUNTIF($B$2:$B$375,B355)</f>
        <v>1</v>
      </c>
      <c r="B355" t="str">
        <f>[1]!Numerize(MID(H355,FIND("=",H355),10))</f>
        <v>8771</v>
      </c>
      <c r="C355" t="str">
        <f t="shared" ref="C355:C373" si="12">MID(H355,FIND("(",H355)+1,FIND(")",H355)-FIND("(",H355)-1)</f>
        <v>S9</v>
      </c>
      <c r="E355" t="str">
        <f>[1]!RegExpSubstitute(MID(H355,FIND("- ",H355)+2,FIND("- ",H355,FIND("- ",H355)+1)-FIND("- ",H355)-2),"\&amp;quot\;.*\&amp;quot\;\W","")</f>
        <v xml:space="preserve">Gus T.T. Showbiz </v>
      </c>
      <c r="G355">
        <f t="shared" si="11"/>
        <v>976</v>
      </c>
      <c r="H355" t="s">
        <v>292</v>
      </c>
    </row>
    <row r="356" spans="1:8" x14ac:dyDescent="0.25">
      <c r="A356">
        <f>COUNTIF($B$2:$B$375,B356)</f>
        <v>1</v>
      </c>
      <c r="B356" t="str">
        <f>[1]!Numerize(MID(H356,FIND("=",H356),10))</f>
        <v>8627</v>
      </c>
      <c r="C356" t="str">
        <f t="shared" si="12"/>
        <v>S9</v>
      </c>
      <c r="E356" t="str">
        <f>[1]!RegExpSubstitute(MID(H356,FIND("- ",H356)+2,FIND("- ",H356,FIND("- ",H356)+1)-FIND("- ",H356)-2),"\&amp;quot\;.*\&amp;quot\;\W","")</f>
        <v xml:space="preserve">Jai Turner </v>
      </c>
      <c r="G356">
        <f t="shared" si="11"/>
        <v>76</v>
      </c>
      <c r="H356" t="s">
        <v>192</v>
      </c>
    </row>
    <row r="357" spans="1:8" x14ac:dyDescent="0.25">
      <c r="A357">
        <f>COUNTIF($B$2:$B$375,B357)</f>
        <v>1</v>
      </c>
      <c r="B357" t="str">
        <f>[1]!Numerize(MID(H357,FIND("=",H357),10))</f>
        <v>8932</v>
      </c>
      <c r="C357" t="str">
        <f t="shared" si="12"/>
        <v>S9</v>
      </c>
      <c r="E357" t="str">
        <f>[1]!RegExpSubstitute(MID(H357,FIND("- ",H357)+2,FIND("- ",H357,FIND("- ",H357)+1)-FIND("- ",H357)-2),"\&amp;quot\;.*\&amp;quot\;\W","")</f>
        <v xml:space="preserve">Jesse Marchand </v>
      </c>
      <c r="G357">
        <f t="shared" si="11"/>
        <v>250</v>
      </c>
      <c r="H357" t="s">
        <v>274</v>
      </c>
    </row>
    <row r="358" spans="1:8" x14ac:dyDescent="0.25">
      <c r="A358">
        <f>COUNTIF($B$2:$B$375,B358)</f>
        <v>1</v>
      </c>
      <c r="B358" t="str">
        <f>[1]!Numerize(MID(H358,FIND("=",H358),10))</f>
        <v>9117</v>
      </c>
      <c r="C358" t="str">
        <f t="shared" si="12"/>
        <v>S9</v>
      </c>
      <c r="E358" t="str">
        <f>[1]!RegExpSubstitute(MID(H358,FIND("- ",H358)+2,FIND("- ",H358,FIND("- ",H358)+1)-FIND("- ",H358)-2),"\&amp;quot\;.*\&amp;quot\;\W","")</f>
        <v xml:space="preserve">John Springfield </v>
      </c>
      <c r="G358">
        <f t="shared" si="11"/>
        <v>57</v>
      </c>
      <c r="H358" t="s">
        <v>190</v>
      </c>
    </row>
    <row r="359" spans="1:8" x14ac:dyDescent="0.25">
      <c r="A359">
        <f>COUNTIF($B$2:$B$375,B359)</f>
        <v>1</v>
      </c>
      <c r="B359" t="str">
        <f>[1]!Numerize(MID(H359,FIND("=",H359),10))</f>
        <v>8851</v>
      </c>
      <c r="C359" t="str">
        <f t="shared" si="12"/>
        <v>S9</v>
      </c>
      <c r="E359" t="str">
        <f>[1]!RegExpSubstitute(MID(H359,FIND("- ",H359)+2,FIND("- ",H359,FIND("- ",H359)+1)-FIND("- ",H359)-2),"\&amp;quot\;.*\&amp;quot\;\W","")</f>
        <v xml:space="preserve">Kolby Deringer </v>
      </c>
      <c r="G359">
        <f t="shared" si="11"/>
        <v>1038</v>
      </c>
      <c r="H359" t="s">
        <v>335</v>
      </c>
    </row>
    <row r="360" spans="1:8" x14ac:dyDescent="0.25">
      <c r="A360">
        <f>COUNTIF($B$2:$B$375,B360)</f>
        <v>1</v>
      </c>
      <c r="B360" t="str">
        <f>[1]!Numerize(MID(H360,FIND("=",H360),10))</f>
        <v>9009</v>
      </c>
      <c r="C360" t="str">
        <f t="shared" si="12"/>
        <v>S9</v>
      </c>
      <c r="E360" t="str">
        <f>[1]!RegExpSubstitute(MID(H360,FIND("- ",H360)+2,FIND("- ",H360,FIND("- ",H360)+1)-FIND("- ",H360)-2),"\&amp;quot\;.*\&amp;quot\;\W","")</f>
        <v xml:space="preserve">Kyle Corbett </v>
      </c>
      <c r="G360">
        <f t="shared" si="11"/>
        <v>104</v>
      </c>
      <c r="H360" t="s">
        <v>370</v>
      </c>
    </row>
    <row r="361" spans="1:8" x14ac:dyDescent="0.25">
      <c r="A361">
        <f>COUNTIF($B$2:$B$375,B361)</f>
        <v>1</v>
      </c>
      <c r="B361" t="str">
        <f>[1]!Numerize(MID(H361,FIND("=",H361),10))</f>
        <v>8857</v>
      </c>
      <c r="C361" t="str">
        <f t="shared" si="12"/>
        <v>S9</v>
      </c>
      <c r="E361" t="str">
        <f>[1]!RegExpSubstitute(MID(H361,FIND("- ",H361)+2,FIND("- ",H361,FIND("- ",H361)+1)-FIND("- ",H361)-2),"\&amp;quot\;.*\&amp;quot\;\W","")</f>
        <v xml:space="preserve">LaMarcus Strike </v>
      </c>
      <c r="G361">
        <f t="shared" si="11"/>
        <v>169</v>
      </c>
      <c r="H361" t="s">
        <v>252</v>
      </c>
    </row>
    <row r="362" spans="1:8" x14ac:dyDescent="0.25">
      <c r="A362">
        <f>COUNTIF($B$2:$B$375,B362)</f>
        <v>1</v>
      </c>
      <c r="B362" t="str">
        <f>[1]!Numerize(MID(H362,FIND("=",H362),10))</f>
        <v>8834</v>
      </c>
      <c r="C362" t="str">
        <f t="shared" si="12"/>
        <v>S9</v>
      </c>
      <c r="E362" t="str">
        <f>[1]!RegExpSubstitute(MID(H362,FIND("- ",H362)+2,FIND("- ",H362,FIND("- ",H362)+1)-FIND("- ",H362)-2),"\&amp;quot\;.*\&amp;quot\;\W","")</f>
        <v xml:space="preserve">Marquise Brown </v>
      </c>
      <c r="G362">
        <f t="shared" si="11"/>
        <v>930</v>
      </c>
      <c r="H362" t="s">
        <v>208</v>
      </c>
    </row>
    <row r="363" spans="1:8" x14ac:dyDescent="0.25">
      <c r="A363">
        <f>COUNTIF($B$2:$B$375,B363)</f>
        <v>1</v>
      </c>
      <c r="B363" t="str">
        <f>[1]!Numerize(MID(H363,FIND("=",H363),10))</f>
        <v>9037</v>
      </c>
      <c r="C363" t="str">
        <f t="shared" si="12"/>
        <v>S9</v>
      </c>
      <c r="E363" t="str">
        <f>[1]!RegExpSubstitute(MID(H363,FIND("- ",H363)+2,FIND("- ",H363,FIND("- ",H363)+1)-FIND("- ",H363)-2),"\&amp;quot\;.*\&amp;quot\;\W","")</f>
        <v xml:space="preserve">Oskar Ludvig </v>
      </c>
      <c r="G363">
        <f t="shared" si="11"/>
        <v>130</v>
      </c>
      <c r="H363" t="s">
        <v>228</v>
      </c>
    </row>
    <row r="364" spans="1:8" x14ac:dyDescent="0.25">
      <c r="A364">
        <f>COUNTIF($B$2:$B$375,B364)</f>
        <v>1</v>
      </c>
      <c r="B364" t="str">
        <f>[1]!Numerize(MID(H364,FIND("=",H364),10))</f>
        <v>8721</v>
      </c>
      <c r="C364" t="str">
        <f t="shared" si="12"/>
        <v>S9</v>
      </c>
      <c r="E364" t="str">
        <f>[1]!RegExpSubstitute(MID(H364,FIND("- ",H364)+2,FIND("- ",H364,FIND("- ",H364)+1)-FIND("- ",H364)-2),"\&amp;quot\;.*\&amp;quot\;\W","")</f>
        <v xml:space="preserve">Ricardo Jones </v>
      </c>
      <c r="G364">
        <f t="shared" si="11"/>
        <v>79</v>
      </c>
      <c r="H364" t="s">
        <v>371</v>
      </c>
    </row>
    <row r="365" spans="1:8" x14ac:dyDescent="0.25">
      <c r="A365">
        <f>COUNTIF($B$2:$B$375,B365)</f>
        <v>1</v>
      </c>
      <c r="B365" t="str">
        <f>[1]!Numerize(MID(H365,FIND("=",H365),10))</f>
        <v>8740</v>
      </c>
      <c r="C365" t="str">
        <f t="shared" si="12"/>
        <v>S9</v>
      </c>
      <c r="E365" t="str">
        <f>[1]!RegExpSubstitute(MID(H365,FIND("- ",H365)+2,FIND("- ",H365,FIND("- ",H365)+1)-FIND("- ",H365)-2),"\&amp;quot\;.*\&amp;quot\;\W","")</f>
        <v xml:space="preserve">Ricky Adams </v>
      </c>
      <c r="G365">
        <f t="shared" si="11"/>
        <v>676</v>
      </c>
      <c r="H365" t="s">
        <v>293</v>
      </c>
    </row>
    <row r="366" spans="1:8" x14ac:dyDescent="0.25">
      <c r="A366">
        <f>COUNTIF($B$2:$B$375,B366)</f>
        <v>1</v>
      </c>
      <c r="B366" t="str">
        <f>[1]!Numerize(MID(H366,FIND("=",H366),10))</f>
        <v>8859</v>
      </c>
      <c r="C366" t="str">
        <f t="shared" si="12"/>
        <v>S9</v>
      </c>
      <c r="E366" t="str">
        <f>[1]!RegExpSubstitute(MID(H366,FIND("- ",H366)+2,FIND("- ",H366,FIND("- ",H366)+1)-FIND("- ",H366)-2),"\&amp;quot\;.*\&amp;quot\;\W","")</f>
        <v xml:space="preserve">Robert Jordan </v>
      </c>
      <c r="G366">
        <f t="shared" si="11"/>
        <v>60</v>
      </c>
      <c r="H366" t="s">
        <v>251</v>
      </c>
    </row>
    <row r="367" spans="1:8" x14ac:dyDescent="0.25">
      <c r="A367">
        <f>COUNTIF($B$2:$B$375,B367)</f>
        <v>1</v>
      </c>
      <c r="B367" t="str">
        <f>[1]!Numerize(MID(H367,FIND("=",H367),10))</f>
        <v>8653</v>
      </c>
      <c r="C367" t="str">
        <f t="shared" si="12"/>
        <v>S9</v>
      </c>
      <c r="E367" t="str">
        <f>[1]!RegExpSubstitute(MID(H367,FIND("- ",H367)+2,FIND("- ",H367,FIND("- ",H367)+1)-FIND("- ",H367)-2),"\&amp;quot\;.*\&amp;quot\;\W","")</f>
        <v xml:space="preserve">ShaDarrien LaMelllana </v>
      </c>
      <c r="G367">
        <f t="shared" si="11"/>
        <v>259</v>
      </c>
      <c r="H367" t="s">
        <v>229</v>
      </c>
    </row>
    <row r="368" spans="1:8" x14ac:dyDescent="0.25">
      <c r="A368">
        <f>COUNTIF($B$2:$B$375,B368)</f>
        <v>1</v>
      </c>
      <c r="B368" t="str">
        <f>[1]!Numerize(MID(H368,FIND("=",H368),10))</f>
        <v>8796</v>
      </c>
      <c r="C368" t="str">
        <f t="shared" si="12"/>
        <v>S9</v>
      </c>
      <c r="E368" t="str">
        <f>[1]!RegExpSubstitute(MID(H368,FIND("- ",H368)+2,FIND("- ",H368,FIND("- ",H368)+1)-FIND("- ",H368)-2),"\&amp;quot\;.*\&amp;quot\;\W","")</f>
        <v xml:space="preserve">Tyler Griffin </v>
      </c>
      <c r="G368">
        <f t="shared" si="11"/>
        <v>86</v>
      </c>
      <c r="H368" t="s">
        <v>191</v>
      </c>
    </row>
    <row r="369" spans="1:8" x14ac:dyDescent="0.25">
      <c r="A369">
        <f>COUNTIF($B$2:$B$375,B369)</f>
        <v>1</v>
      </c>
      <c r="B369" t="str">
        <f>[1]!Numerize(MID(H369,FIND("=",H369),10))</f>
        <v>8751</v>
      </c>
      <c r="C369" t="str">
        <f t="shared" si="12"/>
        <v>S9</v>
      </c>
      <c r="E369" t="str">
        <f>[1]!RegExpSubstitute(MID(H369,FIND("- ",H369)+2,FIND("- ",H369,FIND("- ",H369)+1)-FIND("- ",H369)-2),"\&amp;quot\;.*\&amp;quot\;\W","")</f>
        <v xml:space="preserve">Vinny Valentine </v>
      </c>
      <c r="G369">
        <f t="shared" si="11"/>
        <v>978</v>
      </c>
      <c r="H369" t="s">
        <v>209</v>
      </c>
    </row>
    <row r="370" spans="1:8" x14ac:dyDescent="0.25">
      <c r="A370">
        <f>COUNTIF($B$2:$B$375,B370)</f>
        <v>1</v>
      </c>
      <c r="B370" t="str">
        <f>[1]!Numerize(MID(H370,FIND("=",H370),10))</f>
        <v>8717</v>
      </c>
      <c r="C370" t="str">
        <f t="shared" si="12"/>
        <v>S9</v>
      </c>
      <c r="E370" t="str">
        <f>[1]!RegExpSubstitute(MID(H370,FIND("- ",H370)+2,FIND("- ",H370,FIND("- ",H370)+1)-FIND("- ",H370)-2),"\&amp;quot\;.*\&amp;quot\;\W","")</f>
        <v xml:space="preserve">Xavier Flash </v>
      </c>
      <c r="G370">
        <f t="shared" si="11"/>
        <v>907</v>
      </c>
      <c r="H370" t="s">
        <v>336</v>
      </c>
    </row>
    <row r="371" spans="1:8" x14ac:dyDescent="0.25">
      <c r="A371">
        <f>COUNTIF($B$2:$B$375,B371)</f>
        <v>1</v>
      </c>
      <c r="B371" t="str">
        <f>[1]!Numerize(MID(H371,FIND("=",H371),10))</f>
        <v>8552</v>
      </c>
      <c r="C371" t="str">
        <f t="shared" si="12"/>
        <v>S9</v>
      </c>
      <c r="E371" t="str">
        <f>[1]!RegExpSubstitute(MID(H371,FIND("- ",H371)+2,FIND("- ",H371,FIND("- ",H371)+1)-FIND("- ",H371)-2),"\&amp;quot\;.*\&amp;quot\;\W","")</f>
        <v xml:space="preserve">Young Spaghetti </v>
      </c>
      <c r="G371">
        <f t="shared" si="11"/>
        <v>110</v>
      </c>
      <c r="H371" t="s">
        <v>294</v>
      </c>
    </row>
    <row r="372" spans="1:8" x14ac:dyDescent="0.25">
      <c r="A372">
        <f>COUNTIF($B$2:$B$375,B372)</f>
        <v>1</v>
      </c>
      <c r="B372" t="str">
        <f>[1]!Numerize(MID(H372,FIND("=",H372),10))</f>
        <v>8551</v>
      </c>
      <c r="C372" t="str">
        <f t="shared" si="12"/>
        <v>S9</v>
      </c>
      <c r="E372" t="str">
        <f>[1]!RegExpSubstitute(MID(H372,FIND("- ",H372)+2,FIND("- ",H372,FIND("- ",H372)+1)-FIND("- ",H372)-2),"\&amp;quot\;.*\&amp;quot\;\W","")</f>
        <v xml:space="preserve">Zapp Brannigan </v>
      </c>
      <c r="G372">
        <f t="shared" si="11"/>
        <v>581</v>
      </c>
      <c r="H372" t="s">
        <v>337</v>
      </c>
    </row>
    <row r="373" spans="1:8" x14ac:dyDescent="0.25">
      <c r="A373">
        <f>COUNTIF($B$2:$B$375,B373)</f>
        <v>1</v>
      </c>
      <c r="B373" t="str">
        <f>[1]!Numerize(MID(H373,FIND("=",H373),10))</f>
        <v>10429</v>
      </c>
      <c r="C373" t="str">
        <f t="shared" si="12"/>
        <v>S11</v>
      </c>
      <c r="E373" t="str">
        <f>[1]!RegExpSubstitute(MID(H373,FIND("- ",H373)+2,FIND("- ",H373,FIND("- ",H373)+1)-FIND("- ",H373)-2),"\&amp;quot\;.*\&amp;quot\;\W","")</f>
        <v xml:space="preserve">Jaylin Hobbs </v>
      </c>
      <c r="G373">
        <f t="shared" si="11"/>
        <v>273</v>
      </c>
      <c r="H373" t="s">
        <v>372</v>
      </c>
    </row>
    <row r="374" spans="1:8" x14ac:dyDescent="0.25">
      <c r="A374">
        <f>COUNTIF($B$2:$B$375,B374)</f>
        <v>1</v>
      </c>
      <c r="B374" t="str">
        <f>[1]!Numerize(MID(H374,FIND("=",H374),10))</f>
        <v>12778</v>
      </c>
      <c r="C374" t="str">
        <f t="shared" ref="C374" si="13">MID(H374,FIND("(",H374)+1,FIND(")",H374)-FIND("(",H374)-1)</f>
        <v>S15</v>
      </c>
      <c r="E374" t="str">
        <f>[1]!RegExpSubstitute(MID(H374,FIND("- ",H374)+2,FIND("- ",H374,FIND("- ",H374)+1)-FIND("- ",H374)-2),"\&amp;quot\;.*\&amp;quot\;\W","")</f>
        <v xml:space="preserve">RKANSAW N/A </v>
      </c>
      <c r="G374">
        <f t="shared" ref="G374" si="14">MID(H374,FIND("TPE: ",H374)+5,FIND(", ",H374,FIND("TPE: ",H374))-FIND("TPE: ",H374)-5)+0</f>
        <v>50</v>
      </c>
      <c r="H374" t="s">
        <v>379</v>
      </c>
    </row>
    <row r="375" spans="1:8" x14ac:dyDescent="0.25">
      <c r="A375">
        <f>COUNTIF($B$2:$B$375,B375)</f>
        <v>1</v>
      </c>
      <c r="B375" t="str">
        <f>[1]!Numerize(MID(H375,FIND("=",H375),10))</f>
        <v>12839</v>
      </c>
      <c r="C375" t="str">
        <f t="shared" ref="C375" si="15">MID(H375,FIND("(",H375)+1,FIND(")",H375)-FIND("(",H375)-1)</f>
        <v>S15</v>
      </c>
      <c r="E375" t="str">
        <f>[1]!RegExpSubstitute(MID(H375,FIND("- ",H375)+2,FIND("- ",H375,FIND("- ",H375)+1)-FIND("- ",H375)-2),"\&amp;quot\;.*\&amp;quot\;\W","")</f>
        <v xml:space="preserve">Michael Beckham </v>
      </c>
      <c r="G375">
        <f t="shared" ref="G375" si="16">MID(H375,FIND("TPE: ",H375)+5,FIND(", ",H375,FIND("TPE: ",H375))-FIND("TPE: ",H375)-5)+0</f>
        <v>50</v>
      </c>
      <c r="H375" t="s">
        <v>380</v>
      </c>
    </row>
  </sheetData>
  <autoFilter ref="B1:H373"/>
  <sortState ref="H1:H1242">
    <sortCondition ref="H34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Checker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Watson</dc:creator>
  <cp:lastModifiedBy>Benjamin Watson</cp:lastModifiedBy>
  <dcterms:created xsi:type="dcterms:W3CDTF">2019-03-22T11:18:03Z</dcterms:created>
  <dcterms:modified xsi:type="dcterms:W3CDTF">2019-03-22T12:25:49Z</dcterms:modified>
</cp:coreProperties>
</file>